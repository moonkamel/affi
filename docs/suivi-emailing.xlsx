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ivi" sheetId="1" state="visible" r:id="rId3"/>
    <sheet name="Statistiques" sheetId="2" state="visible" r:id="rId4"/>
    <sheet name="Mode d'emploi" sheetId="3" state="visible" r:id="rId5"/>
  </sheets>
  <definedNames>
    <definedName function="false" hidden="true" localSheetId="0" name="_xlnm._FilterDatabase" vbProcedure="false">Suivi!$A$1:$O$91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" authorId="0">
      <text>
        <r>
          <rPr>
            <sz val="10"/>
            <rFont val="Arial"/>
            <family val="2"/>
          </rPr>
          <t xml:space="preserve">Liste déroulante. Passe à « Envoyé » le jour de l'envoi.</t>
        </r>
      </text>
    </comment>
    <comment ref="K1" authorId="0">
      <text>
        <r>
          <rPr>
            <sz val="10"/>
            <rFont val="Arial"/>
            <family val="2"/>
          </rPr>
          <t xml:space="preserve">Calculé automatiquement : date d'envoi + 5 jours. Devient orange quand la relance est due.</t>
        </r>
      </text>
    </comment>
  </commentList>
</comments>
</file>

<file path=xl/sharedStrings.xml><?xml version="1.0" encoding="utf-8"?>
<sst xmlns="http://schemas.openxmlformats.org/spreadsheetml/2006/main" count="291" uniqueCount="159">
  <si>
    <t xml:space="preserve">#</t>
  </si>
  <si>
    <t xml:space="preserve">Catégorie</t>
  </si>
  <si>
    <t xml:space="preserve">Organisme</t>
  </si>
  <si>
    <t xml:space="preserve">Région</t>
  </si>
  <si>
    <t xml:space="preserve">E-mail</t>
  </si>
  <si>
    <t xml:space="preserve">Source / fiabilité</t>
  </si>
  <si>
    <t xml:space="preserve">Angle</t>
  </si>
  <si>
    <t xml:space="preserve">Objet du mail</t>
  </si>
  <si>
    <t xml:space="preserve">Statut</t>
  </si>
  <si>
    <t xml:space="preserve">Date d'envoi</t>
  </si>
  <si>
    <t xml:space="preserve">Relance prévue (J+5)</t>
  </si>
  <si>
    <t xml:space="preserve">Date de relance</t>
  </si>
  <si>
    <t xml:space="preserve">Réponse</t>
  </si>
  <si>
    <t xml:space="preserve">Lien obtenu (URL)</t>
  </si>
  <si>
    <t xml:space="preserve">Notes</t>
  </si>
  <si>
    <t xml:space="preserve">Média</t>
  </si>
  <si>
    <t xml:space="preserve">Maddyness</t>
  </si>
  <si>
    <t xml:space="preserve">National</t>
  </si>
  <si>
    <t xml:space="preserve">redactionmaddyness@protonmail.com</t>
  </si>
  <si>
    <t xml:space="preserve">Fournie par toi (FAQ Maddyness : adresse « infos sensibles », à vérifier)</t>
  </si>
  <si>
    <t xml:space="preserve">Baromètre des prix</t>
  </si>
  <si>
    <t xml:space="preserve">83 % des logiciels de caisse cachent leurs prix (étude TPE 2027)</t>
  </si>
  <si>
    <t xml:space="preserve">Brouillon prêt</t>
  </si>
  <si>
    <t xml:space="preserve">Le Blog du Dirigeant</t>
  </si>
  <si>
    <t xml:space="preserve">(formulaire)</t>
  </si>
  <si>
    <t xml:space="preserve">Formulaire : leblogdudirigeant.com/formulaire-contact</t>
  </si>
  <si>
    <t xml:space="preserve">Une donnée inédite pour vos lecteurs dirigeants de TPE</t>
  </si>
  <si>
    <t xml:space="preserve">À compléter</t>
  </si>
  <si>
    <t xml:space="preserve">Compta-Online</t>
  </si>
  <si>
    <t xml:space="preserve">forum@compta-online.com</t>
  </si>
  <si>
    <t xml:space="preserve">Fournie par toi</t>
  </si>
  <si>
    <t xml:space="preserve">Simulateurs</t>
  </si>
  <si>
    <t xml:space="preserve">Des simulateurs gratuits à intégrer pour vos lecteurs (TVA, charges, IK)</t>
  </si>
  <si>
    <t xml:space="preserve">Portail Auto-Entrepreneur</t>
  </si>
  <si>
    <t xml:space="preserve">contact@portail-autoentrepreneur.fr</t>
  </si>
  <si>
    <t xml:space="preserve">Simulateurs charges + TVA</t>
  </si>
  <si>
    <t xml:space="preserve">Un simulateur de charges gratuit pour vos lecteurs auto-entrepreneurs</t>
  </si>
  <si>
    <t xml:space="preserve">Journal du Freelance</t>
  </si>
  <si>
    <t xml:space="preserve">tavor.management@gmail.com</t>
  </si>
  <si>
    <t xml:space="preserve">Calculateur TJM</t>
  </si>
  <si>
    <t xml:space="preserve">Un calculateur de TJM gratuit pour vos lecteurs freelances</t>
  </si>
  <si>
    <t xml:space="preserve">Expert-comptable</t>
  </si>
  <si>
    <t xml:space="preserve">les-experts-comptables.fr</t>
  </si>
  <si>
    <t xml:space="preserve">(page Contact du site)</t>
  </si>
  <si>
    <t xml:space="preserve">Article cité : /ressources/facturation-electronique-auto-entrepreneur/</t>
  </si>
  <si>
    <t xml:space="preserve">Simulateur seuil TVA</t>
  </si>
  <si>
    <t xml:space="preserve">Un simulateur de seuil de TVA gratuit pour compléter votre guide auto-entrepreneur</t>
  </si>
  <si>
    <t xml:space="preserve">Fédération</t>
  </si>
  <si>
    <t xml:space="preserve">FNAE</t>
  </si>
  <si>
    <t xml:space="preserve">contact@fnae.fr</t>
  </si>
  <si>
    <t xml:space="preserve">Guide + check-list</t>
  </si>
  <si>
    <t xml:space="preserve">Une ressource gratuite pour vos adhérents auto-entrepreneurs</t>
  </si>
  <si>
    <t xml:space="preserve">Union des auto-entrepreneurs</t>
  </si>
  <si>
    <t xml:space="preserve">contact@union-auto-entrepreneurs.com</t>
  </si>
  <si>
    <t xml:space="preserve">Une ressource gratuite pour les auto-entrepreneurs que vous accompagnez</t>
  </si>
  <si>
    <t xml:space="preserve">Modèle</t>
  </si>
  <si>
    <t xml:space="preserve">Modèle CCI (à dupliquer)</t>
  </si>
  <si>
    <t xml:space="preserve">—</t>
  </si>
  <si>
    <t xml:space="preserve">(à compléter)</t>
  </si>
  <si>
    <t xml:space="preserve">Check-list + simulateurs</t>
  </si>
  <si>
    <t xml:space="preserve">Un outil gratuit pour vos porteurs de projet (facture électronique 2027)</t>
  </si>
  <si>
    <t xml:space="preserve">Modèle CMA (à dupliquer)</t>
  </si>
  <si>
    <t xml:space="preserve">Check-list artisans</t>
  </si>
  <si>
    <t xml:space="preserve">Facture électronique 2027 : une check-list gratuite pour les artisans</t>
  </si>
  <si>
    <t xml:space="preserve">Modèle BGE / Initiative / couveuse</t>
  </si>
  <si>
    <t xml:space="preserve">Des outils gratuits pour les entrepreneurs que vous accompagnez</t>
  </si>
  <si>
    <t xml:space="preserve">CCI</t>
  </si>
  <si>
    <t xml:space="preserve">CCI Paris Île-de-France (Val-d'Oise)</t>
  </si>
  <si>
    <t xml:space="preserve">Île-de-France</t>
  </si>
  <si>
    <t xml:space="preserve">creation95@cci-paris-idf.fr</t>
  </si>
  <si>
    <t xml:space="preserve">Tiers (valparisis.fr)</t>
  </si>
  <si>
    <t xml:space="preserve">CCI Bretagne</t>
  </si>
  <si>
    <t xml:space="preserve">Bretagne</t>
  </si>
  <si>
    <t xml:space="preserve">ccir@bretagne.cci.fr</t>
  </si>
  <si>
    <t xml:space="preserve">Officiel ancien (douane.gouv.fr), à vérifier</t>
  </si>
  <si>
    <t xml:space="preserve">CCI Hauts-de-France</t>
  </si>
  <si>
    <t xml:space="preserve">Hauts-de-France</t>
  </si>
  <si>
    <t xml:space="preserve">ccideregion@hautsdefrance.cci.fr</t>
  </si>
  <si>
    <t xml:space="preserve">Tiers (document CCI repris)</t>
  </si>
  <si>
    <t xml:space="preserve">CCI Ouest Normandie</t>
  </si>
  <si>
    <t xml:space="preserve">Normandie</t>
  </si>
  <si>
    <t xml:space="preserve">cci@normandie.cci.fr</t>
  </si>
  <si>
    <t xml:space="preserve">Tiers (annuaire-administration.com)</t>
  </si>
  <si>
    <t xml:space="preserve">CCI Portes de Normandie</t>
  </si>
  <si>
    <t xml:space="preserve">info-eure@normandie.cci.fr</t>
  </si>
  <si>
    <t xml:space="preserve">CCI Nouvelle-Aquitaine</t>
  </si>
  <si>
    <t xml:space="preserve">Nouvelle-Aquitaine</t>
  </si>
  <si>
    <t xml:space="preserve">contact@nouvelle-aquitaine.cci.fr</t>
  </si>
  <si>
    <t xml:space="preserve">CCI Nantes St-Nazaire (création-reprise)</t>
  </si>
  <si>
    <t xml:space="preserve">Pays de la Loire</t>
  </si>
  <si>
    <t xml:space="preserve">conseil-creation-reprise@44.cci.fr</t>
  </si>
  <si>
    <t xml:space="preserve">Tiers, source non relevée : à vérifier</t>
  </si>
  <si>
    <t xml:space="preserve">CMA</t>
  </si>
  <si>
    <t xml:space="preserve">CMA Val-d'Oise</t>
  </si>
  <si>
    <t xml:space="preserve">eco@cma95.fr</t>
  </si>
  <si>
    <t xml:space="preserve">CMA Auvergne-Rhône-Alpes</t>
  </si>
  <si>
    <t xml:space="preserve">Auvergne-Rhône-Alpes</t>
  </si>
  <si>
    <t xml:space="preserve">contact@crma-auvergnerhonealpes.fr</t>
  </si>
  <si>
    <t xml:space="preserve">Tiers, 2018 : peut être obsolète</t>
  </si>
  <si>
    <t xml:space="preserve">CMA Côte-d'Or</t>
  </si>
  <si>
    <t xml:space="preserve">Bourgogne-Franche-Comté</t>
  </si>
  <si>
    <t xml:space="preserve">accueil-s21@artisanat-bfc.fr</t>
  </si>
  <si>
    <t xml:space="preserve">CMA Morbihan</t>
  </si>
  <si>
    <t xml:space="preserve">accueil@cma-morbihan.fr</t>
  </si>
  <si>
    <t xml:space="preserve">CMA Loiret</t>
  </si>
  <si>
    <t xml:space="preserve">Centre-Val de Loire</t>
  </si>
  <si>
    <t xml:space="preserve">contact@cma45.fr</t>
  </si>
  <si>
    <t xml:space="preserve">CMA Alsace</t>
  </si>
  <si>
    <t xml:space="preserve">Grand Est</t>
  </si>
  <si>
    <t xml:space="preserve">cma@cm-alsace.fr</t>
  </si>
  <si>
    <t xml:space="preserve">Tiers (strasbourg-europe.eu)</t>
  </si>
  <si>
    <t xml:space="preserve">CMA Hauts-de-France</t>
  </si>
  <si>
    <t xml:space="preserve">contact@cma-hautsdefrance.fr</t>
  </si>
  <si>
    <t xml:space="preserve">CMA Charente</t>
  </si>
  <si>
    <t xml:space="preserve">16-eco@cma-nouvelleaquitaine.fr</t>
  </si>
  <si>
    <t xml:space="preserve">Tiers (document de commune)</t>
  </si>
  <si>
    <t xml:space="preserve">CMA Vienne</t>
  </si>
  <si>
    <t xml:space="preserve">86-cma-info@cma-nouvelleaquitaine.fr</t>
  </si>
  <si>
    <t xml:space="preserve">Tiers (lavienne86.fr)</t>
  </si>
  <si>
    <t xml:space="preserve">CMA Loire-Atlantique</t>
  </si>
  <si>
    <t xml:space="preserve">entreprises44@cma-paysdelaloire.fr</t>
  </si>
  <si>
    <t xml:space="preserve">Officiel, à revérifier</t>
  </si>
  <si>
    <t xml:space="preserve">CMA Alpes-Maritimes</t>
  </si>
  <si>
    <t xml:space="preserve">PACA</t>
  </si>
  <si>
    <t xml:space="preserve">contact06@cmar-paca.fr</t>
  </si>
  <si>
    <t xml:space="preserve">Réseau</t>
  </si>
  <si>
    <t xml:space="preserve">BGE Réseau (national)</t>
  </si>
  <si>
    <t xml:space="preserve">accueil@bge.asso.fr</t>
  </si>
  <si>
    <t xml:space="preserve">Officiel (bge.asso.fr, 2024)</t>
  </si>
  <si>
    <t xml:space="preserve">Simulateurs + check-list</t>
  </si>
  <si>
    <t xml:space="preserve">Tableau de bord de la prospection</t>
  </si>
  <si>
    <t xml:space="preserve">Contacts avec adresse</t>
  </si>
  <si>
    <t xml:space="preserve">Brouillons prêts</t>
  </si>
  <si>
    <t xml:space="preserve">Envoyés (y compris relancés, répondus, liens)</t>
  </si>
  <si>
    <t xml:space="preserve">Relancés</t>
  </si>
  <si>
    <t xml:space="preserve">Réponses reçues</t>
  </si>
  <si>
    <t xml:space="preserve">Liens obtenus</t>
  </si>
  <si>
    <t xml:space="preserve">Refus</t>
  </si>
  <si>
    <t xml:space="preserve">Adresses invalides (rebonds)</t>
  </si>
  <si>
    <t xml:space="preserve">Taux de réponse</t>
  </si>
  <si>
    <t xml:space="preserve">Taux d'obtention de lien</t>
  </si>
  <si>
    <t xml:space="preserve">Relances dues aujourd'hui</t>
  </si>
  <si>
    <t xml:space="preserve">Repères habituels : 5 à 15 % de réponses, quelques liens pour 50 envois.</t>
  </si>
  <si>
    <t xml:space="preserve">Par catégorie</t>
  </si>
  <si>
    <t xml:space="preserve">Contacts</t>
  </si>
  <si>
    <t xml:space="preserve">Envoyés</t>
  </si>
  <si>
    <t xml:space="preserve">Liens</t>
  </si>
  <si>
    <t xml:space="preserve">Mode d'emploi du suivi</t>
  </si>
  <si>
    <t xml:space="preserve">Cellules à remplir : les colonnes sur fond jaune clair de l'onglet Suivi (Statut, dates, Réponse, Lien, Notes).</t>
  </si>
  <si>
    <t xml:space="preserve">Les brouillons correspondants sont dans Gmail (compte logimalin@gmail.com), dossier Brouillons, avec le même objet.</t>
  </si>
  <si>
    <t xml:space="preserve">1. Le jour de l'envoi : envoie le brouillon, puis passe le Statut à « Envoyé » et saisis la Date d'envoi.</t>
  </si>
  <si>
    <t xml:space="preserve">2. La colonne « Relance prévue » se calcule seule (J+5) et devient orange quand la relance est due.</t>
  </si>
  <si>
    <t xml:space="preserve">3. Relance une seule fois, en deux lignes, puis passe le Statut à « Relancé » et saisis la Date de relance.</t>
  </si>
  <si>
    <t xml:space="preserve">4. À la réponse : Réponse = Oui. Si un lien vers le site est publié, Statut = « Lien obtenu » et colle l'URL.</t>
  </si>
  <si>
    <t xml:space="preserve">5. Mail revenu en erreur : Statut = « Adresse invalide », et cherche la page contact du site.</t>
  </si>
  <si>
    <t xml:space="preserve">Règles d'envoi : 10 à 15 mails par jour au maximum, un destinataire par mail (jamais de copie groupée),</t>
  </si>
  <si>
    <t xml:space="preserve">une seule relance, et toujours la ligne « répondez STOP » pour se désinscrire.</t>
  </si>
  <si>
    <t xml:space="preserve">Fiabilité des adresses : « Tiers » = trouvée dans un annuaire ou un document externe, à vérifier si le mail revient.</t>
  </si>
  <si>
    <t xml:space="preserve">Lignes vides en bas de l'onglet Suivi : prêtes pour les nouveaux contacts.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</si>
</sst>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666666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563EB"/>
        <bgColor rgb="FF0066CC"/>
      </patternFill>
    </fill>
    <fill>
      <patternFill patternType="solid">
        <fgColor rgb="FFFFF8D6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8D6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D8A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6"/>
      <rgbColor rgb="FFCCFFFF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D8A8"/>
      <rgbColor rgb="FF2563EB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3"/>
    <col collapsed="false" customWidth="true" hidden="false" outlineLevel="0" max="3" min="3" style="0" width="30"/>
    <col collapsed="false" customWidth="true" hidden="false" outlineLevel="0" max="4" min="4" style="0" width="18"/>
    <col collapsed="false" customWidth="true" hidden="false" outlineLevel="0" max="6" min="5" style="0" width="34"/>
    <col collapsed="false" customWidth="true" hidden="false" outlineLevel="0" max="7" min="7" style="0" width="20"/>
    <col collapsed="false" customWidth="true" hidden="false" outlineLevel="0" max="8" min="8" style="0" width="46"/>
    <col collapsed="false" customWidth="true" hidden="false" outlineLevel="0" max="9" min="9" style="0" width="15"/>
    <col collapsed="false" customWidth="true" hidden="false" outlineLevel="0" max="10" min="10" style="0" width="12"/>
    <col collapsed="false" customWidth="true" hidden="false" outlineLevel="0" max="11" min="11" style="0" width="13"/>
    <col collapsed="false" customWidth="true" hidden="false" outlineLevel="0" max="12" min="12" style="0" width="12"/>
    <col collapsed="false" customWidth="true" hidden="false" outlineLevel="0" max="13" min="13" style="0" width="9"/>
    <col collapsed="false" customWidth="true" hidden="false" outlineLevel="0" max="15" min="14" style="0" width="30"/>
  </cols>
  <sheetData>
    <row r="1" customFormat="false" ht="39.5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customFormat="false" ht="23.85" hidden="false" customHeight="false" outlineLevel="0" collapsed="false">
      <c r="A2" s="2" t="n">
        <v>1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 t="s">
        <v>20</v>
      </c>
      <c r="H2" s="2" t="s">
        <v>21</v>
      </c>
      <c r="I2" s="3" t="s">
        <v>22</v>
      </c>
      <c r="J2" s="4"/>
      <c r="K2" s="5" t="str">
        <f aca="false">IF(J2="","",J2+5)</f>
        <v/>
      </c>
      <c r="L2" s="4"/>
      <c r="M2" s="3"/>
      <c r="N2" s="3"/>
      <c r="O2" s="3"/>
    </row>
    <row r="3" customFormat="false" ht="23.85" hidden="false" customHeight="false" outlineLevel="0" collapsed="false">
      <c r="A3" s="2" t="n">
        <v>2</v>
      </c>
      <c r="B3" s="2" t="s">
        <v>15</v>
      </c>
      <c r="C3" s="2" t="s">
        <v>23</v>
      </c>
      <c r="D3" s="2" t="s">
        <v>17</v>
      </c>
      <c r="E3" s="2" t="s">
        <v>24</v>
      </c>
      <c r="F3" s="2" t="s">
        <v>25</v>
      </c>
      <c r="G3" s="2" t="s">
        <v>20</v>
      </c>
      <c r="H3" s="2" t="s">
        <v>26</v>
      </c>
      <c r="I3" s="3" t="s">
        <v>27</v>
      </c>
      <c r="J3" s="4"/>
      <c r="K3" s="5" t="str">
        <f aca="false">IF(J3="","",J3+5)</f>
        <v/>
      </c>
      <c r="L3" s="4"/>
      <c r="M3" s="3"/>
      <c r="N3" s="3"/>
      <c r="O3" s="3"/>
    </row>
    <row r="4" customFormat="false" ht="23.85" hidden="false" customHeight="false" outlineLevel="0" collapsed="false">
      <c r="A4" s="2" t="n">
        <v>3</v>
      </c>
      <c r="B4" s="2" t="s">
        <v>15</v>
      </c>
      <c r="C4" s="2" t="s">
        <v>28</v>
      </c>
      <c r="D4" s="2" t="s">
        <v>17</v>
      </c>
      <c r="E4" s="2" t="s">
        <v>29</v>
      </c>
      <c r="F4" s="2" t="s">
        <v>30</v>
      </c>
      <c r="G4" s="2" t="s">
        <v>31</v>
      </c>
      <c r="H4" s="2" t="s">
        <v>32</v>
      </c>
      <c r="I4" s="3" t="s">
        <v>22</v>
      </c>
      <c r="J4" s="4"/>
      <c r="K4" s="5" t="str">
        <f aca="false">IF(J4="","",J4+5)</f>
        <v/>
      </c>
      <c r="L4" s="4"/>
      <c r="M4" s="3"/>
      <c r="N4" s="3"/>
      <c r="O4" s="3"/>
    </row>
    <row r="5" customFormat="false" ht="23.85" hidden="false" customHeight="false" outlineLevel="0" collapsed="false">
      <c r="A5" s="2" t="n">
        <v>4</v>
      </c>
      <c r="B5" s="2" t="s">
        <v>15</v>
      </c>
      <c r="C5" s="2" t="s">
        <v>33</v>
      </c>
      <c r="D5" s="2" t="s">
        <v>17</v>
      </c>
      <c r="E5" s="2" t="s">
        <v>34</v>
      </c>
      <c r="F5" s="2" t="s">
        <v>30</v>
      </c>
      <c r="G5" s="2" t="s">
        <v>35</v>
      </c>
      <c r="H5" s="2" t="s">
        <v>36</v>
      </c>
      <c r="I5" s="3" t="s">
        <v>22</v>
      </c>
      <c r="J5" s="4"/>
      <c r="K5" s="5" t="str">
        <f aca="false">IF(J5="","",J5+5)</f>
        <v/>
      </c>
      <c r="L5" s="4"/>
      <c r="M5" s="3"/>
      <c r="N5" s="3"/>
      <c r="O5" s="3"/>
    </row>
    <row r="6" customFormat="false" ht="23.85" hidden="false" customHeight="false" outlineLevel="0" collapsed="false">
      <c r="A6" s="2" t="n">
        <v>5</v>
      </c>
      <c r="B6" s="2" t="s">
        <v>15</v>
      </c>
      <c r="C6" s="2" t="s">
        <v>37</v>
      </c>
      <c r="D6" s="2" t="s">
        <v>17</v>
      </c>
      <c r="E6" s="2" t="s">
        <v>38</v>
      </c>
      <c r="F6" s="2" t="s">
        <v>30</v>
      </c>
      <c r="G6" s="2" t="s">
        <v>39</v>
      </c>
      <c r="H6" s="2" t="s">
        <v>40</v>
      </c>
      <c r="I6" s="3" t="s">
        <v>22</v>
      </c>
      <c r="J6" s="4"/>
      <c r="K6" s="5" t="str">
        <f aca="false">IF(J6="","",J6+5)</f>
        <v/>
      </c>
      <c r="L6" s="4"/>
      <c r="M6" s="3"/>
      <c r="N6" s="3"/>
      <c r="O6" s="3"/>
    </row>
    <row r="7" customFormat="false" ht="23.85" hidden="false" customHeight="false" outlineLevel="0" collapsed="false">
      <c r="A7" s="2" t="n">
        <v>6</v>
      </c>
      <c r="B7" s="2" t="s">
        <v>41</v>
      </c>
      <c r="C7" s="2" t="s">
        <v>42</v>
      </c>
      <c r="D7" s="2" t="s">
        <v>17</v>
      </c>
      <c r="E7" s="2" t="s">
        <v>43</v>
      </c>
      <c r="F7" s="2" t="s">
        <v>44</v>
      </c>
      <c r="G7" s="2" t="s">
        <v>45</v>
      </c>
      <c r="H7" s="2" t="s">
        <v>46</v>
      </c>
      <c r="I7" s="3" t="s">
        <v>27</v>
      </c>
      <c r="J7" s="4"/>
      <c r="K7" s="5" t="str">
        <f aca="false">IF(J7="","",J7+5)</f>
        <v/>
      </c>
      <c r="L7" s="4"/>
      <c r="M7" s="3"/>
      <c r="N7" s="3"/>
      <c r="O7" s="3"/>
    </row>
    <row r="8" customFormat="false" ht="23.85" hidden="false" customHeight="false" outlineLevel="0" collapsed="false">
      <c r="A8" s="2" t="n">
        <v>7</v>
      </c>
      <c r="B8" s="2" t="s">
        <v>47</v>
      </c>
      <c r="C8" s="2" t="s">
        <v>48</v>
      </c>
      <c r="D8" s="2" t="s">
        <v>17</v>
      </c>
      <c r="E8" s="2" t="s">
        <v>49</v>
      </c>
      <c r="F8" s="2" t="s">
        <v>30</v>
      </c>
      <c r="G8" s="2" t="s">
        <v>50</v>
      </c>
      <c r="H8" s="2" t="s">
        <v>51</v>
      </c>
      <c r="I8" s="3" t="s">
        <v>22</v>
      </c>
      <c r="J8" s="4"/>
      <c r="K8" s="5" t="str">
        <f aca="false">IF(J8="","",J8+5)</f>
        <v/>
      </c>
      <c r="L8" s="4"/>
      <c r="M8" s="3"/>
      <c r="N8" s="3"/>
      <c r="O8" s="3"/>
    </row>
    <row r="9" customFormat="false" ht="23.85" hidden="false" customHeight="false" outlineLevel="0" collapsed="false">
      <c r="A9" s="2" t="n">
        <v>8</v>
      </c>
      <c r="B9" s="2" t="s">
        <v>47</v>
      </c>
      <c r="C9" s="2" t="s">
        <v>52</v>
      </c>
      <c r="D9" s="2" t="s">
        <v>17</v>
      </c>
      <c r="E9" s="2" t="s">
        <v>53</v>
      </c>
      <c r="F9" s="2" t="s">
        <v>30</v>
      </c>
      <c r="G9" s="2" t="s">
        <v>50</v>
      </c>
      <c r="H9" s="2" t="s">
        <v>54</v>
      </c>
      <c r="I9" s="3" t="s">
        <v>22</v>
      </c>
      <c r="J9" s="4"/>
      <c r="K9" s="5" t="str">
        <f aca="false">IF(J9="","",J9+5)</f>
        <v/>
      </c>
      <c r="L9" s="4"/>
      <c r="M9" s="3"/>
      <c r="N9" s="3"/>
      <c r="O9" s="3"/>
    </row>
    <row r="10" customFormat="false" ht="23.85" hidden="false" customHeight="false" outlineLevel="0" collapsed="false">
      <c r="A10" s="2" t="n">
        <v>9</v>
      </c>
      <c r="B10" s="2" t="s">
        <v>55</v>
      </c>
      <c r="C10" s="2" t="s">
        <v>56</v>
      </c>
      <c r="D10" s="2" t="s">
        <v>57</v>
      </c>
      <c r="E10" s="2" t="s">
        <v>58</v>
      </c>
      <c r="F10" s="2" t="s">
        <v>57</v>
      </c>
      <c r="G10" s="2" t="s">
        <v>59</v>
      </c>
      <c r="H10" s="2" t="s">
        <v>60</v>
      </c>
      <c r="I10" s="3" t="s">
        <v>55</v>
      </c>
      <c r="J10" s="4"/>
      <c r="K10" s="5" t="str">
        <f aca="false">IF(J10="","",J10+5)</f>
        <v/>
      </c>
      <c r="L10" s="4"/>
      <c r="M10" s="3"/>
      <c r="N10" s="3"/>
      <c r="O10" s="3"/>
    </row>
    <row r="11" customFormat="false" ht="23.85" hidden="false" customHeight="false" outlineLevel="0" collapsed="false">
      <c r="A11" s="2" t="n">
        <v>10</v>
      </c>
      <c r="B11" s="2" t="s">
        <v>55</v>
      </c>
      <c r="C11" s="2" t="s">
        <v>61</v>
      </c>
      <c r="D11" s="2" t="s">
        <v>57</v>
      </c>
      <c r="E11" s="2" t="s">
        <v>58</v>
      </c>
      <c r="F11" s="2" t="s">
        <v>57</v>
      </c>
      <c r="G11" s="2" t="s">
        <v>62</v>
      </c>
      <c r="H11" s="2" t="s">
        <v>63</v>
      </c>
      <c r="I11" s="3" t="s">
        <v>55</v>
      </c>
      <c r="J11" s="4"/>
      <c r="K11" s="5" t="str">
        <f aca="false">IF(J11="","",J11+5)</f>
        <v/>
      </c>
      <c r="L11" s="4"/>
      <c r="M11" s="3"/>
      <c r="N11" s="3"/>
      <c r="O11" s="3"/>
    </row>
    <row r="12" customFormat="false" ht="23.85" hidden="false" customHeight="false" outlineLevel="0" collapsed="false">
      <c r="A12" s="2" t="n">
        <v>11</v>
      </c>
      <c r="B12" s="2" t="s">
        <v>55</v>
      </c>
      <c r="C12" s="2" t="s">
        <v>64</v>
      </c>
      <c r="D12" s="2" t="s">
        <v>57</v>
      </c>
      <c r="E12" s="2" t="s">
        <v>58</v>
      </c>
      <c r="F12" s="2" t="s">
        <v>57</v>
      </c>
      <c r="G12" s="2" t="s">
        <v>31</v>
      </c>
      <c r="H12" s="2" t="s">
        <v>65</v>
      </c>
      <c r="I12" s="3" t="s">
        <v>55</v>
      </c>
      <c r="J12" s="4"/>
      <c r="K12" s="5" t="str">
        <f aca="false">IF(J12="","",J12+5)</f>
        <v/>
      </c>
      <c r="L12" s="4"/>
      <c r="M12" s="3"/>
      <c r="N12" s="3"/>
      <c r="O12" s="3"/>
    </row>
    <row r="13" customFormat="false" ht="23.85" hidden="false" customHeight="false" outlineLevel="0" collapsed="false">
      <c r="A13" s="2" t="n">
        <v>12</v>
      </c>
      <c r="B13" s="2" t="s">
        <v>66</v>
      </c>
      <c r="C13" s="2" t="s">
        <v>67</v>
      </c>
      <c r="D13" s="2" t="s">
        <v>68</v>
      </c>
      <c r="E13" s="2" t="s">
        <v>69</v>
      </c>
      <c r="F13" s="2" t="s">
        <v>70</v>
      </c>
      <c r="G13" s="2" t="s">
        <v>59</v>
      </c>
      <c r="H13" s="2" t="s">
        <v>60</v>
      </c>
      <c r="I13" s="3" t="s">
        <v>22</v>
      </c>
      <c r="J13" s="4"/>
      <c r="K13" s="5" t="str">
        <f aca="false">IF(J13="","",J13+5)</f>
        <v/>
      </c>
      <c r="L13" s="4"/>
      <c r="M13" s="3"/>
      <c r="N13" s="3"/>
      <c r="O13" s="3"/>
    </row>
    <row r="14" customFormat="false" ht="23.85" hidden="false" customHeight="false" outlineLevel="0" collapsed="false">
      <c r="A14" s="2" t="n">
        <v>13</v>
      </c>
      <c r="B14" s="2" t="s">
        <v>66</v>
      </c>
      <c r="C14" s="2" t="s">
        <v>71</v>
      </c>
      <c r="D14" s="2" t="s">
        <v>72</v>
      </c>
      <c r="E14" s="2" t="s">
        <v>73</v>
      </c>
      <c r="F14" s="2" t="s">
        <v>74</v>
      </c>
      <c r="G14" s="2" t="s">
        <v>59</v>
      </c>
      <c r="H14" s="2" t="s">
        <v>60</v>
      </c>
      <c r="I14" s="3" t="s">
        <v>22</v>
      </c>
      <c r="J14" s="4"/>
      <c r="K14" s="5" t="str">
        <f aca="false">IF(J14="","",J14+5)</f>
        <v/>
      </c>
      <c r="L14" s="4"/>
      <c r="M14" s="3"/>
      <c r="N14" s="3"/>
      <c r="O14" s="3"/>
    </row>
    <row r="15" customFormat="false" ht="23.85" hidden="false" customHeight="false" outlineLevel="0" collapsed="false">
      <c r="A15" s="2" t="n">
        <v>14</v>
      </c>
      <c r="B15" s="2" t="s">
        <v>66</v>
      </c>
      <c r="C15" s="2" t="s">
        <v>75</v>
      </c>
      <c r="D15" s="2" t="s">
        <v>76</v>
      </c>
      <c r="E15" s="2" t="s">
        <v>77</v>
      </c>
      <c r="F15" s="2" t="s">
        <v>78</v>
      </c>
      <c r="G15" s="2" t="s">
        <v>59</v>
      </c>
      <c r="H15" s="2" t="s">
        <v>60</v>
      </c>
      <c r="I15" s="3" t="s">
        <v>22</v>
      </c>
      <c r="J15" s="4"/>
      <c r="K15" s="5" t="str">
        <f aca="false">IF(J15="","",J15+5)</f>
        <v/>
      </c>
      <c r="L15" s="4"/>
      <c r="M15" s="3"/>
      <c r="N15" s="3"/>
      <c r="O15" s="3"/>
    </row>
    <row r="16" customFormat="false" ht="23.85" hidden="false" customHeight="false" outlineLevel="0" collapsed="false">
      <c r="A16" s="2" t="n">
        <v>15</v>
      </c>
      <c r="B16" s="2" t="s">
        <v>66</v>
      </c>
      <c r="C16" s="2" t="s">
        <v>79</v>
      </c>
      <c r="D16" s="2" t="s">
        <v>80</v>
      </c>
      <c r="E16" s="2" t="s">
        <v>81</v>
      </c>
      <c r="F16" s="2" t="s">
        <v>82</v>
      </c>
      <c r="G16" s="2" t="s">
        <v>59</v>
      </c>
      <c r="H16" s="2" t="s">
        <v>60</v>
      </c>
      <c r="I16" s="3" t="s">
        <v>22</v>
      </c>
      <c r="J16" s="4"/>
      <c r="K16" s="5" t="str">
        <f aca="false">IF(J16="","",J16+5)</f>
        <v/>
      </c>
      <c r="L16" s="4"/>
      <c r="M16" s="3"/>
      <c r="N16" s="3"/>
      <c r="O16" s="3"/>
    </row>
    <row r="17" customFormat="false" ht="23.85" hidden="false" customHeight="false" outlineLevel="0" collapsed="false">
      <c r="A17" s="2" t="n">
        <v>16</v>
      </c>
      <c r="B17" s="2" t="s">
        <v>66</v>
      </c>
      <c r="C17" s="2" t="s">
        <v>83</v>
      </c>
      <c r="D17" s="2" t="s">
        <v>80</v>
      </c>
      <c r="E17" s="2" t="s">
        <v>84</v>
      </c>
      <c r="F17" s="2" t="s">
        <v>82</v>
      </c>
      <c r="G17" s="2" t="s">
        <v>59</v>
      </c>
      <c r="H17" s="2" t="s">
        <v>60</v>
      </c>
      <c r="I17" s="3" t="s">
        <v>22</v>
      </c>
      <c r="J17" s="4"/>
      <c r="K17" s="5" t="str">
        <f aca="false">IF(J17="","",J17+5)</f>
        <v/>
      </c>
      <c r="L17" s="4"/>
      <c r="M17" s="3"/>
      <c r="N17" s="3"/>
      <c r="O17" s="3"/>
    </row>
    <row r="18" customFormat="false" ht="23.85" hidden="false" customHeight="false" outlineLevel="0" collapsed="false">
      <c r="A18" s="2" t="n">
        <v>17</v>
      </c>
      <c r="B18" s="2" t="s">
        <v>66</v>
      </c>
      <c r="C18" s="2" t="s">
        <v>85</v>
      </c>
      <c r="D18" s="2" t="s">
        <v>86</v>
      </c>
      <c r="E18" s="2" t="s">
        <v>87</v>
      </c>
      <c r="F18" s="2" t="s">
        <v>82</v>
      </c>
      <c r="G18" s="2" t="s">
        <v>59</v>
      </c>
      <c r="H18" s="2" t="s">
        <v>60</v>
      </c>
      <c r="I18" s="3" t="s">
        <v>22</v>
      </c>
      <c r="J18" s="4"/>
      <c r="K18" s="5" t="str">
        <f aca="false">IF(J18="","",J18+5)</f>
        <v/>
      </c>
      <c r="L18" s="4"/>
      <c r="M18" s="3"/>
      <c r="N18" s="3"/>
      <c r="O18" s="3"/>
    </row>
    <row r="19" customFormat="false" ht="23.85" hidden="false" customHeight="false" outlineLevel="0" collapsed="false">
      <c r="A19" s="2" t="n">
        <v>18</v>
      </c>
      <c r="B19" s="2" t="s">
        <v>66</v>
      </c>
      <c r="C19" s="2" t="s">
        <v>88</v>
      </c>
      <c r="D19" s="2" t="s">
        <v>89</v>
      </c>
      <c r="E19" s="2" t="s">
        <v>90</v>
      </c>
      <c r="F19" s="2" t="s">
        <v>91</v>
      </c>
      <c r="G19" s="2" t="s">
        <v>59</v>
      </c>
      <c r="H19" s="2" t="s">
        <v>60</v>
      </c>
      <c r="I19" s="3" t="s">
        <v>22</v>
      </c>
      <c r="J19" s="4"/>
      <c r="K19" s="5" t="str">
        <f aca="false">IF(J19="","",J19+5)</f>
        <v/>
      </c>
      <c r="L19" s="4"/>
      <c r="M19" s="3"/>
      <c r="N19" s="3"/>
      <c r="O19" s="3"/>
    </row>
    <row r="20" customFormat="false" ht="23.85" hidden="false" customHeight="false" outlineLevel="0" collapsed="false">
      <c r="A20" s="2" t="n">
        <v>19</v>
      </c>
      <c r="B20" s="2" t="s">
        <v>92</v>
      </c>
      <c r="C20" s="2" t="s">
        <v>93</v>
      </c>
      <c r="D20" s="2" t="s">
        <v>68</v>
      </c>
      <c r="E20" s="2" t="s">
        <v>94</v>
      </c>
      <c r="F20" s="2" t="s">
        <v>70</v>
      </c>
      <c r="G20" s="2" t="s">
        <v>62</v>
      </c>
      <c r="H20" s="2" t="s">
        <v>63</v>
      </c>
      <c r="I20" s="3" t="s">
        <v>22</v>
      </c>
      <c r="J20" s="4"/>
      <c r="K20" s="5" t="str">
        <f aca="false">IF(J20="","",J20+5)</f>
        <v/>
      </c>
      <c r="L20" s="4"/>
      <c r="M20" s="3"/>
      <c r="N20" s="3"/>
      <c r="O20" s="3"/>
    </row>
    <row r="21" customFormat="false" ht="23.85" hidden="false" customHeight="false" outlineLevel="0" collapsed="false">
      <c r="A21" s="2" t="n">
        <v>20</v>
      </c>
      <c r="B21" s="2" t="s">
        <v>92</v>
      </c>
      <c r="C21" s="2" t="s">
        <v>95</v>
      </c>
      <c r="D21" s="2" t="s">
        <v>96</v>
      </c>
      <c r="E21" s="2" t="s">
        <v>97</v>
      </c>
      <c r="F21" s="2" t="s">
        <v>98</v>
      </c>
      <c r="G21" s="2" t="s">
        <v>62</v>
      </c>
      <c r="H21" s="2" t="s">
        <v>63</v>
      </c>
      <c r="I21" s="3" t="s">
        <v>22</v>
      </c>
      <c r="J21" s="4"/>
      <c r="K21" s="5" t="str">
        <f aca="false">IF(J21="","",J21+5)</f>
        <v/>
      </c>
      <c r="L21" s="4"/>
      <c r="M21" s="3"/>
      <c r="N21" s="3"/>
      <c r="O21" s="3"/>
    </row>
    <row r="22" customFormat="false" ht="23.85" hidden="false" customHeight="false" outlineLevel="0" collapsed="false">
      <c r="A22" s="2" t="n">
        <v>21</v>
      </c>
      <c r="B22" s="2" t="s">
        <v>92</v>
      </c>
      <c r="C22" s="2" t="s">
        <v>99</v>
      </c>
      <c r="D22" s="2" t="s">
        <v>100</v>
      </c>
      <c r="E22" s="2" t="s">
        <v>101</v>
      </c>
      <c r="F22" s="2" t="s">
        <v>82</v>
      </c>
      <c r="G22" s="2" t="s">
        <v>62</v>
      </c>
      <c r="H22" s="2" t="s">
        <v>63</v>
      </c>
      <c r="I22" s="3" t="s">
        <v>22</v>
      </c>
      <c r="J22" s="4"/>
      <c r="K22" s="5" t="str">
        <f aca="false">IF(J22="","",J22+5)</f>
        <v/>
      </c>
      <c r="L22" s="4"/>
      <c r="M22" s="3"/>
      <c r="N22" s="3"/>
      <c r="O22" s="3"/>
    </row>
    <row r="23" customFormat="false" ht="23.85" hidden="false" customHeight="false" outlineLevel="0" collapsed="false">
      <c r="A23" s="2" t="n">
        <v>22</v>
      </c>
      <c r="B23" s="2" t="s">
        <v>92</v>
      </c>
      <c r="C23" s="2" t="s">
        <v>102</v>
      </c>
      <c r="D23" s="2" t="s">
        <v>72</v>
      </c>
      <c r="E23" s="2" t="s">
        <v>103</v>
      </c>
      <c r="F23" s="2" t="s">
        <v>82</v>
      </c>
      <c r="G23" s="2" t="s">
        <v>62</v>
      </c>
      <c r="H23" s="2" t="s">
        <v>63</v>
      </c>
      <c r="I23" s="3" t="s">
        <v>22</v>
      </c>
      <c r="J23" s="4"/>
      <c r="K23" s="5" t="str">
        <f aca="false">IF(J23="","",J23+5)</f>
        <v/>
      </c>
      <c r="L23" s="4"/>
      <c r="M23" s="3"/>
      <c r="N23" s="3"/>
      <c r="O23" s="3"/>
    </row>
    <row r="24" customFormat="false" ht="23.85" hidden="false" customHeight="false" outlineLevel="0" collapsed="false">
      <c r="A24" s="2" t="n">
        <v>23</v>
      </c>
      <c r="B24" s="2" t="s">
        <v>92</v>
      </c>
      <c r="C24" s="2" t="s">
        <v>104</v>
      </c>
      <c r="D24" s="2" t="s">
        <v>105</v>
      </c>
      <c r="E24" s="2" t="s">
        <v>106</v>
      </c>
      <c r="F24" s="2" t="s">
        <v>82</v>
      </c>
      <c r="G24" s="2" t="s">
        <v>62</v>
      </c>
      <c r="H24" s="2" t="s">
        <v>63</v>
      </c>
      <c r="I24" s="3" t="s">
        <v>22</v>
      </c>
      <c r="J24" s="4"/>
      <c r="K24" s="5" t="str">
        <f aca="false">IF(J24="","",J24+5)</f>
        <v/>
      </c>
      <c r="L24" s="4"/>
      <c r="M24" s="3"/>
      <c r="N24" s="3"/>
      <c r="O24" s="3"/>
    </row>
    <row r="25" customFormat="false" ht="23.85" hidden="false" customHeight="false" outlineLevel="0" collapsed="false">
      <c r="A25" s="2" t="n">
        <v>24</v>
      </c>
      <c r="B25" s="2" t="s">
        <v>92</v>
      </c>
      <c r="C25" s="2" t="s">
        <v>107</v>
      </c>
      <c r="D25" s="2" t="s">
        <v>108</v>
      </c>
      <c r="E25" s="2" t="s">
        <v>109</v>
      </c>
      <c r="F25" s="2" t="s">
        <v>110</v>
      </c>
      <c r="G25" s="2" t="s">
        <v>62</v>
      </c>
      <c r="H25" s="2" t="s">
        <v>63</v>
      </c>
      <c r="I25" s="3" t="s">
        <v>22</v>
      </c>
      <c r="J25" s="4"/>
      <c r="K25" s="5" t="str">
        <f aca="false">IF(J25="","",J25+5)</f>
        <v/>
      </c>
      <c r="L25" s="4"/>
      <c r="M25" s="3"/>
      <c r="N25" s="3"/>
      <c r="O25" s="3"/>
    </row>
    <row r="26" customFormat="false" ht="23.85" hidden="false" customHeight="false" outlineLevel="0" collapsed="false">
      <c r="A26" s="2" t="n">
        <v>25</v>
      </c>
      <c r="B26" s="2" t="s">
        <v>92</v>
      </c>
      <c r="C26" s="2" t="s">
        <v>111</v>
      </c>
      <c r="D26" s="2" t="s">
        <v>76</v>
      </c>
      <c r="E26" s="2" t="s">
        <v>112</v>
      </c>
      <c r="F26" s="2" t="s">
        <v>82</v>
      </c>
      <c r="G26" s="2" t="s">
        <v>62</v>
      </c>
      <c r="H26" s="2" t="s">
        <v>63</v>
      </c>
      <c r="I26" s="3" t="s">
        <v>22</v>
      </c>
      <c r="J26" s="4"/>
      <c r="K26" s="5" t="str">
        <f aca="false">IF(J26="","",J26+5)</f>
        <v/>
      </c>
      <c r="L26" s="4"/>
      <c r="M26" s="3"/>
      <c r="N26" s="3"/>
      <c r="O26" s="3"/>
    </row>
    <row r="27" customFormat="false" ht="23.85" hidden="false" customHeight="false" outlineLevel="0" collapsed="false">
      <c r="A27" s="2" t="n">
        <v>26</v>
      </c>
      <c r="B27" s="2" t="s">
        <v>92</v>
      </c>
      <c r="C27" s="2" t="s">
        <v>113</v>
      </c>
      <c r="D27" s="2" t="s">
        <v>86</v>
      </c>
      <c r="E27" s="2" t="s">
        <v>114</v>
      </c>
      <c r="F27" s="2" t="s">
        <v>115</v>
      </c>
      <c r="G27" s="2" t="s">
        <v>62</v>
      </c>
      <c r="H27" s="2" t="s">
        <v>63</v>
      </c>
      <c r="I27" s="3" t="s">
        <v>22</v>
      </c>
      <c r="J27" s="4"/>
      <c r="K27" s="5" t="str">
        <f aca="false">IF(J27="","",J27+5)</f>
        <v/>
      </c>
      <c r="L27" s="4"/>
      <c r="M27" s="3"/>
      <c r="N27" s="3"/>
      <c r="O27" s="3"/>
    </row>
    <row r="28" customFormat="false" ht="23.85" hidden="false" customHeight="false" outlineLevel="0" collapsed="false">
      <c r="A28" s="2" t="n">
        <v>27</v>
      </c>
      <c r="B28" s="2" t="s">
        <v>92</v>
      </c>
      <c r="C28" s="2" t="s">
        <v>116</v>
      </c>
      <c r="D28" s="2" t="s">
        <v>86</v>
      </c>
      <c r="E28" s="2" t="s">
        <v>117</v>
      </c>
      <c r="F28" s="2" t="s">
        <v>118</v>
      </c>
      <c r="G28" s="2" t="s">
        <v>62</v>
      </c>
      <c r="H28" s="2" t="s">
        <v>63</v>
      </c>
      <c r="I28" s="3" t="s">
        <v>22</v>
      </c>
      <c r="J28" s="4"/>
      <c r="K28" s="5" t="str">
        <f aca="false">IF(J28="","",J28+5)</f>
        <v/>
      </c>
      <c r="L28" s="4"/>
      <c r="M28" s="3"/>
      <c r="N28" s="3"/>
      <c r="O28" s="3"/>
    </row>
    <row r="29" customFormat="false" ht="23.85" hidden="false" customHeight="false" outlineLevel="0" collapsed="false">
      <c r="A29" s="2" t="n">
        <v>28</v>
      </c>
      <c r="B29" s="2" t="s">
        <v>92</v>
      </c>
      <c r="C29" s="2" t="s">
        <v>119</v>
      </c>
      <c r="D29" s="2" t="s">
        <v>89</v>
      </c>
      <c r="E29" s="2" t="s">
        <v>120</v>
      </c>
      <c r="F29" s="2" t="s">
        <v>121</v>
      </c>
      <c r="G29" s="2" t="s">
        <v>62</v>
      </c>
      <c r="H29" s="2" t="s">
        <v>63</v>
      </c>
      <c r="I29" s="3" t="s">
        <v>22</v>
      </c>
      <c r="J29" s="4"/>
      <c r="K29" s="5" t="str">
        <f aca="false">IF(J29="","",J29+5)</f>
        <v/>
      </c>
      <c r="L29" s="4"/>
      <c r="M29" s="3"/>
      <c r="N29" s="3"/>
      <c r="O29" s="3"/>
    </row>
    <row r="30" customFormat="false" ht="23.85" hidden="false" customHeight="false" outlineLevel="0" collapsed="false">
      <c r="A30" s="2" t="n">
        <v>29</v>
      </c>
      <c r="B30" s="2" t="s">
        <v>92</v>
      </c>
      <c r="C30" s="2" t="s">
        <v>122</v>
      </c>
      <c r="D30" s="2" t="s">
        <v>123</v>
      </c>
      <c r="E30" s="2" t="s">
        <v>124</v>
      </c>
      <c r="F30" s="2" t="s">
        <v>82</v>
      </c>
      <c r="G30" s="2" t="s">
        <v>62</v>
      </c>
      <c r="H30" s="2" t="s">
        <v>63</v>
      </c>
      <c r="I30" s="3" t="s">
        <v>22</v>
      </c>
      <c r="J30" s="4"/>
      <c r="K30" s="5" t="str">
        <f aca="false">IF(J30="","",J30+5)</f>
        <v/>
      </c>
      <c r="L30" s="4"/>
      <c r="M30" s="3"/>
      <c r="N30" s="3"/>
      <c r="O30" s="3"/>
    </row>
    <row r="31" customFormat="false" ht="23.85" hidden="false" customHeight="false" outlineLevel="0" collapsed="false">
      <c r="A31" s="2" t="n">
        <v>30</v>
      </c>
      <c r="B31" s="2" t="s">
        <v>125</v>
      </c>
      <c r="C31" s="2" t="s">
        <v>126</v>
      </c>
      <c r="D31" s="2" t="s">
        <v>17</v>
      </c>
      <c r="E31" s="2" t="s">
        <v>127</v>
      </c>
      <c r="F31" s="2" t="s">
        <v>128</v>
      </c>
      <c r="G31" s="2" t="s">
        <v>129</v>
      </c>
      <c r="H31" s="2" t="s">
        <v>65</v>
      </c>
      <c r="I31" s="3" t="s">
        <v>22</v>
      </c>
      <c r="J31" s="4"/>
      <c r="K31" s="5" t="str">
        <f aca="false">IF(J31="","",J31+5)</f>
        <v/>
      </c>
      <c r="L31" s="4"/>
      <c r="M31" s="3"/>
      <c r="N31" s="3"/>
      <c r="O31" s="3"/>
    </row>
    <row r="32" customFormat="false" ht="15" hidden="false" customHeight="false" outlineLevel="0" collapsed="false">
      <c r="A32" s="6" t="n">
        <v>31</v>
      </c>
      <c r="B32" s="7"/>
      <c r="C32" s="7"/>
      <c r="D32" s="7"/>
      <c r="E32" s="7"/>
      <c r="F32" s="7"/>
      <c r="G32" s="7"/>
      <c r="H32" s="7"/>
      <c r="I32" s="7"/>
      <c r="J32" s="8"/>
      <c r="K32" s="9" t="str">
        <f aca="false">IF(J32="","",J32+5)</f>
        <v/>
      </c>
      <c r="L32" s="8"/>
      <c r="M32" s="7"/>
      <c r="N32" s="7"/>
      <c r="O32" s="7"/>
    </row>
    <row r="33" customFormat="false" ht="15" hidden="false" customHeight="false" outlineLevel="0" collapsed="false">
      <c r="A33" s="6" t="n">
        <v>32</v>
      </c>
      <c r="B33" s="7"/>
      <c r="C33" s="7"/>
      <c r="D33" s="7"/>
      <c r="E33" s="7"/>
      <c r="F33" s="7"/>
      <c r="G33" s="7"/>
      <c r="H33" s="7"/>
      <c r="I33" s="7"/>
      <c r="J33" s="8"/>
      <c r="K33" s="9" t="str">
        <f aca="false">IF(J33="","",J33+5)</f>
        <v/>
      </c>
      <c r="L33" s="8"/>
      <c r="M33" s="7"/>
      <c r="N33" s="7"/>
      <c r="O33" s="7"/>
    </row>
    <row r="34" customFormat="false" ht="15" hidden="false" customHeight="false" outlineLevel="0" collapsed="false">
      <c r="A34" s="6" t="n">
        <v>33</v>
      </c>
      <c r="B34" s="7"/>
      <c r="C34" s="7"/>
      <c r="D34" s="7"/>
      <c r="E34" s="7"/>
      <c r="F34" s="7"/>
      <c r="G34" s="7"/>
      <c r="H34" s="7"/>
      <c r="I34" s="7"/>
      <c r="J34" s="8"/>
      <c r="K34" s="9" t="str">
        <f aca="false">IF(J34="","",J34+5)</f>
        <v/>
      </c>
      <c r="L34" s="8"/>
      <c r="M34" s="7"/>
      <c r="N34" s="7"/>
      <c r="O34" s="7"/>
    </row>
    <row r="35" customFormat="false" ht="15" hidden="false" customHeight="false" outlineLevel="0" collapsed="false">
      <c r="A35" s="6" t="n">
        <v>34</v>
      </c>
      <c r="B35" s="7"/>
      <c r="C35" s="7"/>
      <c r="D35" s="7"/>
      <c r="E35" s="7"/>
      <c r="F35" s="7"/>
      <c r="G35" s="7"/>
      <c r="H35" s="7"/>
      <c r="I35" s="7"/>
      <c r="J35" s="8"/>
      <c r="K35" s="9" t="str">
        <f aca="false">IF(J35="","",J35+5)</f>
        <v/>
      </c>
      <c r="L35" s="8"/>
      <c r="M35" s="7"/>
      <c r="N35" s="7"/>
      <c r="O35" s="7"/>
    </row>
    <row r="36" customFormat="false" ht="15" hidden="false" customHeight="false" outlineLevel="0" collapsed="false">
      <c r="A36" s="6" t="n">
        <v>35</v>
      </c>
      <c r="B36" s="7"/>
      <c r="C36" s="7"/>
      <c r="D36" s="7"/>
      <c r="E36" s="7"/>
      <c r="F36" s="7"/>
      <c r="G36" s="7"/>
      <c r="H36" s="7"/>
      <c r="I36" s="7"/>
      <c r="J36" s="8"/>
      <c r="K36" s="9" t="str">
        <f aca="false">IF(J36="","",J36+5)</f>
        <v/>
      </c>
      <c r="L36" s="8"/>
      <c r="M36" s="7"/>
      <c r="N36" s="7"/>
      <c r="O36" s="7"/>
    </row>
    <row r="37" customFormat="false" ht="15" hidden="false" customHeight="false" outlineLevel="0" collapsed="false">
      <c r="A37" s="6" t="n">
        <v>36</v>
      </c>
      <c r="B37" s="7"/>
      <c r="C37" s="7"/>
      <c r="D37" s="7"/>
      <c r="E37" s="7"/>
      <c r="F37" s="7"/>
      <c r="G37" s="7"/>
      <c r="H37" s="7"/>
      <c r="I37" s="7"/>
      <c r="J37" s="8"/>
      <c r="K37" s="9" t="str">
        <f aca="false">IF(J37="","",J37+5)</f>
        <v/>
      </c>
      <c r="L37" s="8"/>
      <c r="M37" s="7"/>
      <c r="N37" s="7"/>
      <c r="O37" s="7"/>
    </row>
    <row r="38" customFormat="false" ht="15" hidden="false" customHeight="false" outlineLevel="0" collapsed="false">
      <c r="A38" s="6" t="n">
        <v>37</v>
      </c>
      <c r="B38" s="7"/>
      <c r="C38" s="7"/>
      <c r="D38" s="7"/>
      <c r="E38" s="7"/>
      <c r="F38" s="7"/>
      <c r="G38" s="7"/>
      <c r="H38" s="7"/>
      <c r="I38" s="7"/>
      <c r="J38" s="8"/>
      <c r="K38" s="9" t="str">
        <f aca="false">IF(J38="","",J38+5)</f>
        <v/>
      </c>
      <c r="L38" s="8"/>
      <c r="M38" s="7"/>
      <c r="N38" s="7"/>
      <c r="O38" s="7"/>
    </row>
    <row r="39" customFormat="false" ht="15" hidden="false" customHeight="false" outlineLevel="0" collapsed="false">
      <c r="A39" s="6" t="n">
        <v>38</v>
      </c>
      <c r="B39" s="7"/>
      <c r="C39" s="7"/>
      <c r="D39" s="7"/>
      <c r="E39" s="7"/>
      <c r="F39" s="7"/>
      <c r="G39" s="7"/>
      <c r="H39" s="7"/>
      <c r="I39" s="7"/>
      <c r="J39" s="8"/>
      <c r="K39" s="9" t="str">
        <f aca="false">IF(J39="","",J39+5)</f>
        <v/>
      </c>
      <c r="L39" s="8"/>
      <c r="M39" s="7"/>
      <c r="N39" s="7"/>
      <c r="O39" s="7"/>
    </row>
    <row r="40" customFormat="false" ht="15" hidden="false" customHeight="false" outlineLevel="0" collapsed="false">
      <c r="A40" s="6" t="n">
        <v>39</v>
      </c>
      <c r="B40" s="7"/>
      <c r="C40" s="7"/>
      <c r="D40" s="7"/>
      <c r="E40" s="7"/>
      <c r="F40" s="7"/>
      <c r="G40" s="7"/>
      <c r="H40" s="7"/>
      <c r="I40" s="7"/>
      <c r="J40" s="8"/>
      <c r="K40" s="9" t="str">
        <f aca="false">IF(J40="","",J40+5)</f>
        <v/>
      </c>
      <c r="L40" s="8"/>
      <c r="M40" s="7"/>
      <c r="N40" s="7"/>
      <c r="O40" s="7"/>
    </row>
    <row r="41" customFormat="false" ht="15" hidden="false" customHeight="false" outlineLevel="0" collapsed="false">
      <c r="A41" s="6" t="n">
        <v>40</v>
      </c>
      <c r="B41" s="7"/>
      <c r="C41" s="7"/>
      <c r="D41" s="7"/>
      <c r="E41" s="7"/>
      <c r="F41" s="7"/>
      <c r="G41" s="7"/>
      <c r="H41" s="7"/>
      <c r="I41" s="7"/>
      <c r="J41" s="8"/>
      <c r="K41" s="9" t="str">
        <f aca="false">IF(J41="","",J41+5)</f>
        <v/>
      </c>
      <c r="L41" s="8"/>
      <c r="M41" s="7"/>
      <c r="N41" s="7"/>
      <c r="O41" s="7"/>
    </row>
    <row r="42" customFormat="false" ht="15" hidden="false" customHeight="false" outlineLevel="0" collapsed="false">
      <c r="A42" s="6" t="n">
        <v>41</v>
      </c>
      <c r="B42" s="7"/>
      <c r="C42" s="7"/>
      <c r="D42" s="7"/>
      <c r="E42" s="7"/>
      <c r="F42" s="7"/>
      <c r="G42" s="7"/>
      <c r="H42" s="7"/>
      <c r="I42" s="7"/>
      <c r="J42" s="8"/>
      <c r="K42" s="9" t="str">
        <f aca="false">IF(J42="","",J42+5)</f>
        <v/>
      </c>
      <c r="L42" s="8"/>
      <c r="M42" s="7"/>
      <c r="N42" s="7"/>
      <c r="O42" s="7"/>
    </row>
    <row r="43" customFormat="false" ht="15" hidden="false" customHeight="false" outlineLevel="0" collapsed="false">
      <c r="A43" s="6" t="n">
        <v>42</v>
      </c>
      <c r="B43" s="7"/>
      <c r="C43" s="7"/>
      <c r="D43" s="7"/>
      <c r="E43" s="7"/>
      <c r="F43" s="7"/>
      <c r="G43" s="7"/>
      <c r="H43" s="7"/>
      <c r="I43" s="7"/>
      <c r="J43" s="8"/>
      <c r="K43" s="9" t="str">
        <f aca="false">IF(J43="","",J43+5)</f>
        <v/>
      </c>
      <c r="L43" s="8"/>
      <c r="M43" s="7"/>
      <c r="N43" s="7"/>
      <c r="O43" s="7"/>
    </row>
    <row r="44" customFormat="false" ht="15" hidden="false" customHeight="false" outlineLevel="0" collapsed="false">
      <c r="A44" s="6" t="n">
        <v>43</v>
      </c>
      <c r="B44" s="7"/>
      <c r="C44" s="7"/>
      <c r="D44" s="7"/>
      <c r="E44" s="7"/>
      <c r="F44" s="7"/>
      <c r="G44" s="7"/>
      <c r="H44" s="7"/>
      <c r="I44" s="7"/>
      <c r="J44" s="8"/>
      <c r="K44" s="9" t="str">
        <f aca="false">IF(J44="","",J44+5)</f>
        <v/>
      </c>
      <c r="L44" s="8"/>
      <c r="M44" s="7"/>
      <c r="N44" s="7"/>
      <c r="O44" s="7"/>
    </row>
    <row r="45" customFormat="false" ht="15" hidden="false" customHeight="false" outlineLevel="0" collapsed="false">
      <c r="A45" s="6" t="n">
        <v>44</v>
      </c>
      <c r="B45" s="7"/>
      <c r="C45" s="7"/>
      <c r="D45" s="7"/>
      <c r="E45" s="7"/>
      <c r="F45" s="7"/>
      <c r="G45" s="7"/>
      <c r="H45" s="7"/>
      <c r="I45" s="7"/>
      <c r="J45" s="8"/>
      <c r="K45" s="9" t="str">
        <f aca="false">IF(J45="","",J45+5)</f>
        <v/>
      </c>
      <c r="L45" s="8"/>
      <c r="M45" s="7"/>
      <c r="N45" s="7"/>
      <c r="O45" s="7"/>
    </row>
    <row r="46" customFormat="false" ht="15" hidden="false" customHeight="false" outlineLevel="0" collapsed="false">
      <c r="A46" s="6" t="n">
        <v>45</v>
      </c>
      <c r="B46" s="7"/>
      <c r="C46" s="7"/>
      <c r="D46" s="7"/>
      <c r="E46" s="7"/>
      <c r="F46" s="7"/>
      <c r="G46" s="7"/>
      <c r="H46" s="7"/>
      <c r="I46" s="7"/>
      <c r="J46" s="8"/>
      <c r="K46" s="9" t="str">
        <f aca="false">IF(J46="","",J46+5)</f>
        <v/>
      </c>
      <c r="L46" s="8"/>
      <c r="M46" s="7"/>
      <c r="N46" s="7"/>
      <c r="O46" s="7"/>
    </row>
    <row r="47" customFormat="false" ht="15" hidden="false" customHeight="false" outlineLevel="0" collapsed="false">
      <c r="A47" s="6" t="n">
        <v>46</v>
      </c>
      <c r="B47" s="7"/>
      <c r="C47" s="7"/>
      <c r="D47" s="7"/>
      <c r="E47" s="7"/>
      <c r="F47" s="7"/>
      <c r="G47" s="7"/>
      <c r="H47" s="7"/>
      <c r="I47" s="7"/>
      <c r="J47" s="8"/>
      <c r="K47" s="9" t="str">
        <f aca="false">IF(J47="","",J47+5)</f>
        <v/>
      </c>
      <c r="L47" s="8"/>
      <c r="M47" s="7"/>
      <c r="N47" s="7"/>
      <c r="O47" s="7"/>
    </row>
    <row r="48" customFormat="false" ht="15" hidden="false" customHeight="false" outlineLevel="0" collapsed="false">
      <c r="A48" s="6" t="n">
        <v>47</v>
      </c>
      <c r="B48" s="7"/>
      <c r="C48" s="7"/>
      <c r="D48" s="7"/>
      <c r="E48" s="7"/>
      <c r="F48" s="7"/>
      <c r="G48" s="7"/>
      <c r="H48" s="7"/>
      <c r="I48" s="7"/>
      <c r="J48" s="8"/>
      <c r="K48" s="9" t="str">
        <f aca="false">IF(J48="","",J48+5)</f>
        <v/>
      </c>
      <c r="L48" s="8"/>
      <c r="M48" s="7"/>
      <c r="N48" s="7"/>
      <c r="O48" s="7"/>
    </row>
    <row r="49" customFormat="false" ht="15" hidden="false" customHeight="false" outlineLevel="0" collapsed="false">
      <c r="A49" s="6" t="n">
        <v>48</v>
      </c>
      <c r="B49" s="7"/>
      <c r="C49" s="7"/>
      <c r="D49" s="7"/>
      <c r="E49" s="7"/>
      <c r="F49" s="7"/>
      <c r="G49" s="7"/>
      <c r="H49" s="7"/>
      <c r="I49" s="7"/>
      <c r="J49" s="8"/>
      <c r="K49" s="9" t="str">
        <f aca="false">IF(J49="","",J49+5)</f>
        <v/>
      </c>
      <c r="L49" s="8"/>
      <c r="M49" s="7"/>
      <c r="N49" s="7"/>
      <c r="O49" s="7"/>
    </row>
    <row r="50" customFormat="false" ht="15" hidden="false" customHeight="false" outlineLevel="0" collapsed="false">
      <c r="A50" s="6" t="n">
        <v>49</v>
      </c>
      <c r="B50" s="7"/>
      <c r="C50" s="7"/>
      <c r="D50" s="7"/>
      <c r="E50" s="7"/>
      <c r="F50" s="7"/>
      <c r="G50" s="7"/>
      <c r="H50" s="7"/>
      <c r="I50" s="7"/>
      <c r="J50" s="8"/>
      <c r="K50" s="9" t="str">
        <f aca="false">IF(J50="","",J50+5)</f>
        <v/>
      </c>
      <c r="L50" s="8"/>
      <c r="M50" s="7"/>
      <c r="N50" s="7"/>
      <c r="O50" s="7"/>
    </row>
    <row r="51" customFormat="false" ht="15" hidden="false" customHeight="false" outlineLevel="0" collapsed="false">
      <c r="A51" s="6" t="n">
        <v>50</v>
      </c>
      <c r="B51" s="7"/>
      <c r="C51" s="7"/>
      <c r="D51" s="7"/>
      <c r="E51" s="7"/>
      <c r="F51" s="7"/>
      <c r="G51" s="7"/>
      <c r="H51" s="7"/>
      <c r="I51" s="7"/>
      <c r="J51" s="8"/>
      <c r="K51" s="9" t="str">
        <f aca="false">IF(J51="","",J51+5)</f>
        <v/>
      </c>
      <c r="L51" s="8"/>
      <c r="M51" s="7"/>
      <c r="N51" s="7"/>
      <c r="O51" s="7"/>
    </row>
    <row r="52" customFormat="false" ht="15" hidden="false" customHeight="false" outlineLevel="0" collapsed="false">
      <c r="A52" s="6" t="n">
        <v>51</v>
      </c>
      <c r="B52" s="7"/>
      <c r="C52" s="7"/>
      <c r="D52" s="7"/>
      <c r="E52" s="7"/>
      <c r="F52" s="7"/>
      <c r="G52" s="7"/>
      <c r="H52" s="7"/>
      <c r="I52" s="7"/>
      <c r="J52" s="8"/>
      <c r="K52" s="9" t="str">
        <f aca="false">IF(J52="","",J52+5)</f>
        <v/>
      </c>
      <c r="L52" s="8"/>
      <c r="M52" s="7"/>
      <c r="N52" s="7"/>
      <c r="O52" s="7"/>
    </row>
    <row r="53" customFormat="false" ht="15" hidden="false" customHeight="false" outlineLevel="0" collapsed="false">
      <c r="A53" s="6" t="n">
        <v>52</v>
      </c>
      <c r="B53" s="7"/>
      <c r="C53" s="7"/>
      <c r="D53" s="7"/>
      <c r="E53" s="7"/>
      <c r="F53" s="7"/>
      <c r="G53" s="7"/>
      <c r="H53" s="7"/>
      <c r="I53" s="7"/>
      <c r="J53" s="8"/>
      <c r="K53" s="9" t="str">
        <f aca="false">IF(J53="","",J53+5)</f>
        <v/>
      </c>
      <c r="L53" s="8"/>
      <c r="M53" s="7"/>
      <c r="N53" s="7"/>
      <c r="O53" s="7"/>
    </row>
    <row r="54" customFormat="false" ht="15" hidden="false" customHeight="false" outlineLevel="0" collapsed="false">
      <c r="A54" s="6" t="n">
        <v>53</v>
      </c>
      <c r="B54" s="7"/>
      <c r="C54" s="7"/>
      <c r="D54" s="7"/>
      <c r="E54" s="7"/>
      <c r="F54" s="7"/>
      <c r="G54" s="7"/>
      <c r="H54" s="7"/>
      <c r="I54" s="7"/>
      <c r="J54" s="8"/>
      <c r="K54" s="9" t="str">
        <f aca="false">IF(J54="","",J54+5)</f>
        <v/>
      </c>
      <c r="L54" s="8"/>
      <c r="M54" s="7"/>
      <c r="N54" s="7"/>
      <c r="O54" s="7"/>
    </row>
    <row r="55" customFormat="false" ht="15" hidden="false" customHeight="false" outlineLevel="0" collapsed="false">
      <c r="A55" s="6" t="n">
        <v>54</v>
      </c>
      <c r="B55" s="7"/>
      <c r="C55" s="7"/>
      <c r="D55" s="7"/>
      <c r="E55" s="7"/>
      <c r="F55" s="7"/>
      <c r="G55" s="7"/>
      <c r="H55" s="7"/>
      <c r="I55" s="7"/>
      <c r="J55" s="8"/>
      <c r="K55" s="9" t="str">
        <f aca="false">IF(J55="","",J55+5)</f>
        <v/>
      </c>
      <c r="L55" s="8"/>
      <c r="M55" s="7"/>
      <c r="N55" s="7"/>
      <c r="O55" s="7"/>
    </row>
    <row r="56" customFormat="false" ht="15" hidden="false" customHeight="false" outlineLevel="0" collapsed="false">
      <c r="A56" s="6" t="n">
        <v>55</v>
      </c>
      <c r="B56" s="7"/>
      <c r="C56" s="7"/>
      <c r="D56" s="7"/>
      <c r="E56" s="7"/>
      <c r="F56" s="7"/>
      <c r="G56" s="7"/>
      <c r="H56" s="7"/>
      <c r="I56" s="7"/>
      <c r="J56" s="8"/>
      <c r="K56" s="9" t="str">
        <f aca="false">IF(J56="","",J56+5)</f>
        <v/>
      </c>
      <c r="L56" s="8"/>
      <c r="M56" s="7"/>
      <c r="N56" s="7"/>
      <c r="O56" s="7"/>
    </row>
    <row r="57" customFormat="false" ht="15" hidden="false" customHeight="false" outlineLevel="0" collapsed="false">
      <c r="A57" s="6" t="n">
        <v>56</v>
      </c>
      <c r="B57" s="7"/>
      <c r="C57" s="7"/>
      <c r="D57" s="7"/>
      <c r="E57" s="7"/>
      <c r="F57" s="7"/>
      <c r="G57" s="7"/>
      <c r="H57" s="7"/>
      <c r="I57" s="7"/>
      <c r="J57" s="8"/>
      <c r="K57" s="9" t="str">
        <f aca="false">IF(J57="","",J57+5)</f>
        <v/>
      </c>
      <c r="L57" s="8"/>
      <c r="M57" s="7"/>
      <c r="N57" s="7"/>
      <c r="O57" s="7"/>
    </row>
    <row r="58" customFormat="false" ht="15" hidden="false" customHeight="false" outlineLevel="0" collapsed="false">
      <c r="A58" s="6" t="n">
        <v>57</v>
      </c>
      <c r="B58" s="7"/>
      <c r="C58" s="7"/>
      <c r="D58" s="7"/>
      <c r="E58" s="7"/>
      <c r="F58" s="7"/>
      <c r="G58" s="7"/>
      <c r="H58" s="7"/>
      <c r="I58" s="7"/>
      <c r="J58" s="8"/>
      <c r="K58" s="9" t="str">
        <f aca="false">IF(J58="","",J58+5)</f>
        <v/>
      </c>
      <c r="L58" s="8"/>
      <c r="M58" s="7"/>
      <c r="N58" s="7"/>
      <c r="O58" s="7"/>
    </row>
    <row r="59" customFormat="false" ht="15" hidden="false" customHeight="false" outlineLevel="0" collapsed="false">
      <c r="A59" s="6" t="n">
        <v>58</v>
      </c>
      <c r="B59" s="7"/>
      <c r="C59" s="7"/>
      <c r="D59" s="7"/>
      <c r="E59" s="7"/>
      <c r="F59" s="7"/>
      <c r="G59" s="7"/>
      <c r="H59" s="7"/>
      <c r="I59" s="7"/>
      <c r="J59" s="8"/>
      <c r="K59" s="9" t="str">
        <f aca="false">IF(J59="","",J59+5)</f>
        <v/>
      </c>
      <c r="L59" s="8"/>
      <c r="M59" s="7"/>
      <c r="N59" s="7"/>
      <c r="O59" s="7"/>
    </row>
    <row r="60" customFormat="false" ht="15" hidden="false" customHeight="false" outlineLevel="0" collapsed="false">
      <c r="A60" s="6" t="n">
        <v>59</v>
      </c>
      <c r="B60" s="7"/>
      <c r="C60" s="7"/>
      <c r="D60" s="7"/>
      <c r="E60" s="7"/>
      <c r="F60" s="7"/>
      <c r="G60" s="7"/>
      <c r="H60" s="7"/>
      <c r="I60" s="7"/>
      <c r="J60" s="8"/>
      <c r="K60" s="9" t="str">
        <f aca="false">IF(J60="","",J60+5)</f>
        <v/>
      </c>
      <c r="L60" s="8"/>
      <c r="M60" s="7"/>
      <c r="N60" s="7"/>
      <c r="O60" s="7"/>
    </row>
    <row r="61" customFormat="false" ht="15" hidden="false" customHeight="false" outlineLevel="0" collapsed="false">
      <c r="A61" s="6" t="n">
        <v>60</v>
      </c>
      <c r="B61" s="7"/>
      <c r="C61" s="7"/>
      <c r="D61" s="7"/>
      <c r="E61" s="7"/>
      <c r="F61" s="7"/>
      <c r="G61" s="7"/>
      <c r="H61" s="7"/>
      <c r="I61" s="7"/>
      <c r="J61" s="8"/>
      <c r="K61" s="9" t="str">
        <f aca="false">IF(J61="","",J61+5)</f>
        <v/>
      </c>
      <c r="L61" s="8"/>
      <c r="M61" s="7"/>
      <c r="N61" s="7"/>
      <c r="O61" s="7"/>
    </row>
    <row r="62" customFormat="false" ht="15" hidden="false" customHeight="false" outlineLevel="0" collapsed="false">
      <c r="A62" s="6" t="n">
        <v>61</v>
      </c>
      <c r="B62" s="7"/>
      <c r="C62" s="7"/>
      <c r="D62" s="7"/>
      <c r="E62" s="7"/>
      <c r="F62" s="7"/>
      <c r="G62" s="7"/>
      <c r="H62" s="7"/>
      <c r="I62" s="7"/>
      <c r="J62" s="8"/>
      <c r="K62" s="9" t="str">
        <f aca="false">IF(J62="","",J62+5)</f>
        <v/>
      </c>
      <c r="L62" s="8"/>
      <c r="M62" s="7"/>
      <c r="N62" s="7"/>
      <c r="O62" s="7"/>
    </row>
    <row r="63" customFormat="false" ht="15" hidden="false" customHeight="false" outlineLevel="0" collapsed="false">
      <c r="A63" s="6" t="n">
        <v>62</v>
      </c>
      <c r="B63" s="7"/>
      <c r="C63" s="7"/>
      <c r="D63" s="7"/>
      <c r="E63" s="7"/>
      <c r="F63" s="7"/>
      <c r="G63" s="7"/>
      <c r="H63" s="7"/>
      <c r="I63" s="7"/>
      <c r="J63" s="8"/>
      <c r="K63" s="9" t="str">
        <f aca="false">IF(J63="","",J63+5)</f>
        <v/>
      </c>
      <c r="L63" s="8"/>
      <c r="M63" s="7"/>
      <c r="N63" s="7"/>
      <c r="O63" s="7"/>
    </row>
    <row r="64" customFormat="false" ht="15" hidden="false" customHeight="false" outlineLevel="0" collapsed="false">
      <c r="A64" s="6" t="n">
        <v>63</v>
      </c>
      <c r="B64" s="7"/>
      <c r="C64" s="7"/>
      <c r="D64" s="7"/>
      <c r="E64" s="7"/>
      <c r="F64" s="7"/>
      <c r="G64" s="7"/>
      <c r="H64" s="7"/>
      <c r="I64" s="7"/>
      <c r="J64" s="8"/>
      <c r="K64" s="9" t="str">
        <f aca="false">IF(J64="","",J64+5)</f>
        <v/>
      </c>
      <c r="L64" s="8"/>
      <c r="M64" s="7"/>
      <c r="N64" s="7"/>
      <c r="O64" s="7"/>
    </row>
    <row r="65" customFormat="false" ht="15" hidden="false" customHeight="false" outlineLevel="0" collapsed="false">
      <c r="A65" s="6" t="n">
        <v>64</v>
      </c>
      <c r="B65" s="7"/>
      <c r="C65" s="7"/>
      <c r="D65" s="7"/>
      <c r="E65" s="7"/>
      <c r="F65" s="7"/>
      <c r="G65" s="7"/>
      <c r="H65" s="7"/>
      <c r="I65" s="7"/>
      <c r="J65" s="8"/>
      <c r="K65" s="9" t="str">
        <f aca="false">IF(J65="","",J65+5)</f>
        <v/>
      </c>
      <c r="L65" s="8"/>
      <c r="M65" s="7"/>
      <c r="N65" s="7"/>
      <c r="O65" s="7"/>
    </row>
    <row r="66" customFormat="false" ht="15" hidden="false" customHeight="false" outlineLevel="0" collapsed="false">
      <c r="A66" s="6" t="n">
        <v>65</v>
      </c>
      <c r="B66" s="7"/>
      <c r="C66" s="7"/>
      <c r="D66" s="7"/>
      <c r="E66" s="7"/>
      <c r="F66" s="7"/>
      <c r="G66" s="7"/>
      <c r="H66" s="7"/>
      <c r="I66" s="7"/>
      <c r="J66" s="8"/>
      <c r="K66" s="9" t="str">
        <f aca="false">IF(J66="","",J66+5)</f>
        <v/>
      </c>
      <c r="L66" s="8"/>
      <c r="M66" s="7"/>
      <c r="N66" s="7"/>
      <c r="O66" s="7"/>
    </row>
    <row r="67" customFormat="false" ht="15" hidden="false" customHeight="false" outlineLevel="0" collapsed="false">
      <c r="A67" s="6" t="n">
        <v>66</v>
      </c>
      <c r="B67" s="7"/>
      <c r="C67" s="7"/>
      <c r="D67" s="7"/>
      <c r="E67" s="7"/>
      <c r="F67" s="7"/>
      <c r="G67" s="7"/>
      <c r="H67" s="7"/>
      <c r="I67" s="7"/>
      <c r="J67" s="8"/>
      <c r="K67" s="9" t="str">
        <f aca="false">IF(J67="","",J67+5)</f>
        <v/>
      </c>
      <c r="L67" s="8"/>
      <c r="M67" s="7"/>
      <c r="N67" s="7"/>
      <c r="O67" s="7"/>
    </row>
    <row r="68" customFormat="false" ht="15" hidden="false" customHeight="false" outlineLevel="0" collapsed="false">
      <c r="A68" s="6" t="n">
        <v>67</v>
      </c>
      <c r="B68" s="7"/>
      <c r="C68" s="7"/>
      <c r="D68" s="7"/>
      <c r="E68" s="7"/>
      <c r="F68" s="7"/>
      <c r="G68" s="7"/>
      <c r="H68" s="7"/>
      <c r="I68" s="7"/>
      <c r="J68" s="8"/>
      <c r="K68" s="9" t="str">
        <f aca="false">IF(J68="","",J68+5)</f>
        <v/>
      </c>
      <c r="L68" s="8"/>
      <c r="M68" s="7"/>
      <c r="N68" s="7"/>
      <c r="O68" s="7"/>
    </row>
    <row r="69" customFormat="false" ht="15" hidden="false" customHeight="false" outlineLevel="0" collapsed="false">
      <c r="A69" s="6" t="n">
        <v>68</v>
      </c>
      <c r="B69" s="7"/>
      <c r="C69" s="7"/>
      <c r="D69" s="7"/>
      <c r="E69" s="7"/>
      <c r="F69" s="7"/>
      <c r="G69" s="7"/>
      <c r="H69" s="7"/>
      <c r="I69" s="7"/>
      <c r="J69" s="8"/>
      <c r="K69" s="9" t="str">
        <f aca="false">IF(J69="","",J69+5)</f>
        <v/>
      </c>
      <c r="L69" s="8"/>
      <c r="M69" s="7"/>
      <c r="N69" s="7"/>
      <c r="O69" s="7"/>
    </row>
    <row r="70" customFormat="false" ht="15" hidden="false" customHeight="false" outlineLevel="0" collapsed="false">
      <c r="A70" s="6" t="n">
        <v>69</v>
      </c>
      <c r="B70" s="7"/>
      <c r="C70" s="7"/>
      <c r="D70" s="7"/>
      <c r="E70" s="7"/>
      <c r="F70" s="7"/>
      <c r="G70" s="7"/>
      <c r="H70" s="7"/>
      <c r="I70" s="7"/>
      <c r="J70" s="8"/>
      <c r="K70" s="9" t="str">
        <f aca="false">IF(J70="","",J70+5)</f>
        <v/>
      </c>
      <c r="L70" s="8"/>
      <c r="M70" s="7"/>
      <c r="N70" s="7"/>
      <c r="O70" s="7"/>
    </row>
    <row r="71" customFormat="false" ht="15" hidden="false" customHeight="false" outlineLevel="0" collapsed="false">
      <c r="A71" s="6" t="n">
        <v>70</v>
      </c>
      <c r="B71" s="7"/>
      <c r="C71" s="7"/>
      <c r="D71" s="7"/>
      <c r="E71" s="7"/>
      <c r="F71" s="7"/>
      <c r="G71" s="7"/>
      <c r="H71" s="7"/>
      <c r="I71" s="7"/>
      <c r="J71" s="8"/>
      <c r="K71" s="9" t="str">
        <f aca="false">IF(J71="","",J71+5)</f>
        <v/>
      </c>
      <c r="L71" s="8"/>
      <c r="M71" s="7"/>
      <c r="N71" s="7"/>
      <c r="O71" s="7"/>
    </row>
    <row r="72" customFormat="false" ht="15" hidden="false" customHeight="false" outlineLevel="0" collapsed="false">
      <c r="A72" s="6" t="n">
        <v>71</v>
      </c>
      <c r="B72" s="7"/>
      <c r="C72" s="7"/>
      <c r="D72" s="7"/>
      <c r="E72" s="7"/>
      <c r="F72" s="7"/>
      <c r="G72" s="7"/>
      <c r="H72" s="7"/>
      <c r="I72" s="7"/>
      <c r="J72" s="8"/>
      <c r="K72" s="9" t="str">
        <f aca="false">IF(J72="","",J72+5)</f>
        <v/>
      </c>
      <c r="L72" s="8"/>
      <c r="M72" s="7"/>
      <c r="N72" s="7"/>
      <c r="O72" s="7"/>
    </row>
    <row r="73" customFormat="false" ht="15" hidden="false" customHeight="false" outlineLevel="0" collapsed="false">
      <c r="A73" s="6" t="n">
        <v>72</v>
      </c>
      <c r="B73" s="7"/>
      <c r="C73" s="7"/>
      <c r="D73" s="7"/>
      <c r="E73" s="7"/>
      <c r="F73" s="7"/>
      <c r="G73" s="7"/>
      <c r="H73" s="7"/>
      <c r="I73" s="7"/>
      <c r="J73" s="8"/>
      <c r="K73" s="9" t="str">
        <f aca="false">IF(J73="","",J73+5)</f>
        <v/>
      </c>
      <c r="L73" s="8"/>
      <c r="M73" s="7"/>
      <c r="N73" s="7"/>
      <c r="O73" s="7"/>
    </row>
    <row r="74" customFormat="false" ht="15" hidden="false" customHeight="false" outlineLevel="0" collapsed="false">
      <c r="A74" s="6" t="n">
        <v>73</v>
      </c>
      <c r="B74" s="7"/>
      <c r="C74" s="7"/>
      <c r="D74" s="7"/>
      <c r="E74" s="7"/>
      <c r="F74" s="7"/>
      <c r="G74" s="7"/>
      <c r="H74" s="7"/>
      <c r="I74" s="7"/>
      <c r="J74" s="8"/>
      <c r="K74" s="9" t="str">
        <f aca="false">IF(J74="","",J74+5)</f>
        <v/>
      </c>
      <c r="L74" s="8"/>
      <c r="M74" s="7"/>
      <c r="N74" s="7"/>
      <c r="O74" s="7"/>
    </row>
    <row r="75" customFormat="false" ht="15" hidden="false" customHeight="false" outlineLevel="0" collapsed="false">
      <c r="A75" s="6" t="n">
        <v>74</v>
      </c>
      <c r="B75" s="7"/>
      <c r="C75" s="7"/>
      <c r="D75" s="7"/>
      <c r="E75" s="7"/>
      <c r="F75" s="7"/>
      <c r="G75" s="7"/>
      <c r="H75" s="7"/>
      <c r="I75" s="7"/>
      <c r="J75" s="8"/>
      <c r="K75" s="9" t="str">
        <f aca="false">IF(J75="","",J75+5)</f>
        <v/>
      </c>
      <c r="L75" s="8"/>
      <c r="M75" s="7"/>
      <c r="N75" s="7"/>
      <c r="O75" s="7"/>
    </row>
    <row r="76" customFormat="false" ht="15" hidden="false" customHeight="false" outlineLevel="0" collapsed="false">
      <c r="A76" s="6" t="n">
        <v>75</v>
      </c>
      <c r="B76" s="7"/>
      <c r="C76" s="7"/>
      <c r="D76" s="7"/>
      <c r="E76" s="7"/>
      <c r="F76" s="7"/>
      <c r="G76" s="7"/>
      <c r="H76" s="7"/>
      <c r="I76" s="7"/>
      <c r="J76" s="8"/>
      <c r="K76" s="9" t="str">
        <f aca="false">IF(J76="","",J76+5)</f>
        <v/>
      </c>
      <c r="L76" s="8"/>
      <c r="M76" s="7"/>
      <c r="N76" s="7"/>
      <c r="O76" s="7"/>
    </row>
    <row r="77" customFormat="false" ht="15" hidden="false" customHeight="false" outlineLevel="0" collapsed="false">
      <c r="A77" s="6" t="n">
        <v>76</v>
      </c>
      <c r="B77" s="7"/>
      <c r="C77" s="7"/>
      <c r="D77" s="7"/>
      <c r="E77" s="7"/>
      <c r="F77" s="7"/>
      <c r="G77" s="7"/>
      <c r="H77" s="7"/>
      <c r="I77" s="7"/>
      <c r="J77" s="8"/>
      <c r="K77" s="9" t="str">
        <f aca="false">IF(J77="","",J77+5)</f>
        <v/>
      </c>
      <c r="L77" s="8"/>
      <c r="M77" s="7"/>
      <c r="N77" s="7"/>
      <c r="O77" s="7"/>
    </row>
    <row r="78" customFormat="false" ht="15" hidden="false" customHeight="false" outlineLevel="0" collapsed="false">
      <c r="A78" s="6" t="n">
        <v>77</v>
      </c>
      <c r="B78" s="7"/>
      <c r="C78" s="7"/>
      <c r="D78" s="7"/>
      <c r="E78" s="7"/>
      <c r="F78" s="7"/>
      <c r="G78" s="7"/>
      <c r="H78" s="7"/>
      <c r="I78" s="7"/>
      <c r="J78" s="8"/>
      <c r="K78" s="9" t="str">
        <f aca="false">IF(J78="","",J78+5)</f>
        <v/>
      </c>
      <c r="L78" s="8"/>
      <c r="M78" s="7"/>
      <c r="N78" s="7"/>
      <c r="O78" s="7"/>
    </row>
    <row r="79" customFormat="false" ht="15" hidden="false" customHeight="false" outlineLevel="0" collapsed="false">
      <c r="A79" s="6" t="n">
        <v>78</v>
      </c>
      <c r="B79" s="7"/>
      <c r="C79" s="7"/>
      <c r="D79" s="7"/>
      <c r="E79" s="7"/>
      <c r="F79" s="7"/>
      <c r="G79" s="7"/>
      <c r="H79" s="7"/>
      <c r="I79" s="7"/>
      <c r="J79" s="8"/>
      <c r="K79" s="9" t="str">
        <f aca="false">IF(J79="","",J79+5)</f>
        <v/>
      </c>
      <c r="L79" s="8"/>
      <c r="M79" s="7"/>
      <c r="N79" s="7"/>
      <c r="O79" s="7"/>
    </row>
    <row r="80" customFormat="false" ht="15" hidden="false" customHeight="false" outlineLevel="0" collapsed="false">
      <c r="A80" s="6" t="n">
        <v>79</v>
      </c>
      <c r="B80" s="7"/>
      <c r="C80" s="7"/>
      <c r="D80" s="7"/>
      <c r="E80" s="7"/>
      <c r="F80" s="7"/>
      <c r="G80" s="7"/>
      <c r="H80" s="7"/>
      <c r="I80" s="7"/>
      <c r="J80" s="8"/>
      <c r="K80" s="9" t="str">
        <f aca="false">IF(J80="","",J80+5)</f>
        <v/>
      </c>
      <c r="L80" s="8"/>
      <c r="M80" s="7"/>
      <c r="N80" s="7"/>
      <c r="O80" s="7"/>
    </row>
    <row r="81" customFormat="false" ht="15" hidden="false" customHeight="false" outlineLevel="0" collapsed="false">
      <c r="A81" s="6" t="n">
        <v>80</v>
      </c>
      <c r="B81" s="7"/>
      <c r="C81" s="7"/>
      <c r="D81" s="7"/>
      <c r="E81" s="7"/>
      <c r="F81" s="7"/>
      <c r="G81" s="7"/>
      <c r="H81" s="7"/>
      <c r="I81" s="7"/>
      <c r="J81" s="8"/>
      <c r="K81" s="9" t="str">
        <f aca="false">IF(J81="","",J81+5)</f>
        <v/>
      </c>
      <c r="L81" s="8"/>
      <c r="M81" s="7"/>
      <c r="N81" s="7"/>
      <c r="O81" s="7"/>
    </row>
    <row r="82" customFormat="false" ht="15" hidden="false" customHeight="false" outlineLevel="0" collapsed="false">
      <c r="A82" s="6" t="n">
        <v>81</v>
      </c>
      <c r="B82" s="7"/>
      <c r="C82" s="7"/>
      <c r="D82" s="7"/>
      <c r="E82" s="7"/>
      <c r="F82" s="7"/>
      <c r="G82" s="7"/>
      <c r="H82" s="7"/>
      <c r="I82" s="7"/>
      <c r="J82" s="8"/>
      <c r="K82" s="9" t="str">
        <f aca="false">IF(J82="","",J82+5)</f>
        <v/>
      </c>
      <c r="L82" s="8"/>
      <c r="M82" s="7"/>
      <c r="N82" s="7"/>
      <c r="O82" s="7"/>
    </row>
    <row r="83" customFormat="false" ht="15" hidden="false" customHeight="false" outlineLevel="0" collapsed="false">
      <c r="A83" s="6" t="n">
        <v>82</v>
      </c>
      <c r="B83" s="7"/>
      <c r="C83" s="7"/>
      <c r="D83" s="7"/>
      <c r="E83" s="7"/>
      <c r="F83" s="7"/>
      <c r="G83" s="7"/>
      <c r="H83" s="7"/>
      <c r="I83" s="7"/>
      <c r="J83" s="8"/>
      <c r="K83" s="9" t="str">
        <f aca="false">IF(J83="","",J83+5)</f>
        <v/>
      </c>
      <c r="L83" s="8"/>
      <c r="M83" s="7"/>
      <c r="N83" s="7"/>
      <c r="O83" s="7"/>
    </row>
    <row r="84" customFormat="false" ht="15" hidden="false" customHeight="false" outlineLevel="0" collapsed="false">
      <c r="A84" s="6" t="n">
        <v>83</v>
      </c>
      <c r="B84" s="7"/>
      <c r="C84" s="7"/>
      <c r="D84" s="7"/>
      <c r="E84" s="7"/>
      <c r="F84" s="7"/>
      <c r="G84" s="7"/>
      <c r="H84" s="7"/>
      <c r="I84" s="7"/>
      <c r="J84" s="8"/>
      <c r="K84" s="9" t="str">
        <f aca="false">IF(J84="","",J84+5)</f>
        <v/>
      </c>
      <c r="L84" s="8"/>
      <c r="M84" s="7"/>
      <c r="N84" s="7"/>
      <c r="O84" s="7"/>
    </row>
    <row r="85" customFormat="false" ht="15" hidden="false" customHeight="false" outlineLevel="0" collapsed="false">
      <c r="A85" s="6" t="n">
        <v>84</v>
      </c>
      <c r="B85" s="7"/>
      <c r="C85" s="7"/>
      <c r="D85" s="7"/>
      <c r="E85" s="7"/>
      <c r="F85" s="7"/>
      <c r="G85" s="7"/>
      <c r="H85" s="7"/>
      <c r="I85" s="7"/>
      <c r="J85" s="8"/>
      <c r="K85" s="9" t="str">
        <f aca="false">IF(J85="","",J85+5)</f>
        <v/>
      </c>
      <c r="L85" s="8"/>
      <c r="M85" s="7"/>
      <c r="N85" s="7"/>
      <c r="O85" s="7"/>
    </row>
    <row r="86" customFormat="false" ht="15" hidden="false" customHeight="false" outlineLevel="0" collapsed="false">
      <c r="A86" s="6" t="n">
        <v>85</v>
      </c>
      <c r="B86" s="7"/>
      <c r="C86" s="7"/>
      <c r="D86" s="7"/>
      <c r="E86" s="7"/>
      <c r="F86" s="7"/>
      <c r="G86" s="7"/>
      <c r="H86" s="7"/>
      <c r="I86" s="7"/>
      <c r="J86" s="8"/>
      <c r="K86" s="9" t="str">
        <f aca="false">IF(J86="","",J86+5)</f>
        <v/>
      </c>
      <c r="L86" s="8"/>
      <c r="M86" s="7"/>
      <c r="N86" s="7"/>
      <c r="O86" s="7"/>
    </row>
    <row r="87" customFormat="false" ht="15" hidden="false" customHeight="false" outlineLevel="0" collapsed="false">
      <c r="A87" s="6" t="n">
        <v>86</v>
      </c>
      <c r="B87" s="7"/>
      <c r="C87" s="7"/>
      <c r="D87" s="7"/>
      <c r="E87" s="7"/>
      <c r="F87" s="7"/>
      <c r="G87" s="7"/>
      <c r="H87" s="7"/>
      <c r="I87" s="7"/>
      <c r="J87" s="8"/>
      <c r="K87" s="9" t="str">
        <f aca="false">IF(J87="","",J87+5)</f>
        <v/>
      </c>
      <c r="L87" s="8"/>
      <c r="M87" s="7"/>
      <c r="N87" s="7"/>
      <c r="O87" s="7"/>
    </row>
    <row r="88" customFormat="false" ht="15" hidden="false" customHeight="false" outlineLevel="0" collapsed="false">
      <c r="A88" s="6" t="n">
        <v>87</v>
      </c>
      <c r="B88" s="7"/>
      <c r="C88" s="7"/>
      <c r="D88" s="7"/>
      <c r="E88" s="7"/>
      <c r="F88" s="7"/>
      <c r="G88" s="7"/>
      <c r="H88" s="7"/>
      <c r="I88" s="7"/>
      <c r="J88" s="8"/>
      <c r="K88" s="9" t="str">
        <f aca="false">IF(J88="","",J88+5)</f>
        <v/>
      </c>
      <c r="L88" s="8"/>
      <c r="M88" s="7"/>
      <c r="N88" s="7"/>
      <c r="O88" s="7"/>
    </row>
    <row r="89" customFormat="false" ht="15" hidden="false" customHeight="false" outlineLevel="0" collapsed="false">
      <c r="A89" s="6" t="n">
        <v>88</v>
      </c>
      <c r="B89" s="7"/>
      <c r="C89" s="7"/>
      <c r="D89" s="7"/>
      <c r="E89" s="7"/>
      <c r="F89" s="7"/>
      <c r="G89" s="7"/>
      <c r="H89" s="7"/>
      <c r="I89" s="7"/>
      <c r="J89" s="8"/>
      <c r="K89" s="9" t="str">
        <f aca="false">IF(J89="","",J89+5)</f>
        <v/>
      </c>
      <c r="L89" s="8"/>
      <c r="M89" s="7"/>
      <c r="N89" s="7"/>
      <c r="O89" s="7"/>
    </row>
    <row r="90" customFormat="false" ht="15" hidden="false" customHeight="false" outlineLevel="0" collapsed="false">
      <c r="A90" s="6" t="n">
        <v>89</v>
      </c>
      <c r="B90" s="7"/>
      <c r="C90" s="7"/>
      <c r="D90" s="7"/>
      <c r="E90" s="7"/>
      <c r="F90" s="7"/>
      <c r="G90" s="7"/>
      <c r="H90" s="7"/>
      <c r="I90" s="7"/>
      <c r="J90" s="8"/>
      <c r="K90" s="9" t="str">
        <f aca="false">IF(J90="","",J90+5)</f>
        <v/>
      </c>
      <c r="L90" s="8"/>
      <c r="M90" s="7"/>
      <c r="N90" s="7"/>
      <c r="O90" s="7"/>
    </row>
    <row r="91" customFormat="false" ht="15" hidden="false" customHeight="false" outlineLevel="0" collapsed="false">
      <c r="A91" s="6" t="n">
        <v>90</v>
      </c>
      <c r="B91" s="7"/>
      <c r="C91" s="7"/>
      <c r="D91" s="7"/>
      <c r="E91" s="7"/>
      <c r="F91" s="7"/>
      <c r="G91" s="7"/>
      <c r="H91" s="7"/>
      <c r="I91" s="7"/>
      <c r="J91" s="8"/>
      <c r="K91" s="9" t="str">
        <f aca="false">IF(J91="","",J91+5)</f>
        <v/>
      </c>
      <c r="L91" s="8"/>
      <c r="M91" s="7"/>
      <c r="N91" s="7"/>
      <c r="O91" s="7"/>
    </row>
  </sheetData>
  <autoFilter ref="A1:O91"/>
  <conditionalFormatting sqref="I2:I91">
    <cfRule type="cellIs" priority="2" operator="equal" aboveAverage="0" equalAverage="0" bottom="0" percent="0" rank="0" text="" dxfId="4">
      <formula>"Lien obtenu"</formula>
    </cfRule>
    <cfRule type="cellIs" priority="3" operator="equal" aboveAverage="0" equalAverage="0" bottom="0" percent="0" rank="0" text="" dxfId="5">
      <formula>"Adresse invalide"</formula>
    </cfRule>
  </conditionalFormatting>
  <conditionalFormatting sqref="K2:K91">
    <cfRule type="expression" priority="4" aboveAverage="0" equalAverage="0" bottom="0" percent="0" rank="0" text="" dxfId="6">
      <formula>AND(K2&lt;&gt;"",K2&lt;=TODAY(),L2="",I2="Envoyé")</formula>
    </cfRule>
  </conditionalFormatting>
  <dataValidations count="2">
    <dataValidation allowBlank="true" errorStyle="stop" operator="between" showDropDown="false" showErrorMessage="false" showInputMessage="false" sqref="I2:I91" type="list">
      <formula1>"Brouillon prêt,À compléter,Modèle,Envoyé,Relancé,Répondu,Lien obtenu,Refus,Pas de réponse,Adresse invalide"</formula1>
      <formula2>0</formula2>
    </dataValidation>
    <dataValidation allowBlank="true" errorStyle="stop" operator="between" showDropDown="false" showErrorMessage="false" showInputMessage="false" sqref="M2:M9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12"/>
    <col collapsed="false" customWidth="true" hidden="false" outlineLevel="0" max="4" min="4" style="0" width="10"/>
  </cols>
  <sheetData>
    <row r="1" customFormat="false" ht="17.35" hidden="false" customHeight="false" outlineLevel="0" collapsed="false">
      <c r="A1" s="10" t="s">
        <v>130</v>
      </c>
    </row>
    <row r="3" customFormat="false" ht="15" hidden="false" customHeight="false" outlineLevel="0" collapsed="false">
      <c r="A3" s="11" t="s">
        <v>131</v>
      </c>
      <c r="B3" s="12" t="n">
        <f aca="false">COUNTIF(Suivi!$E$2:$E$91,"*@*")</f>
        <v>25</v>
      </c>
    </row>
    <row r="4" customFormat="false" ht="15" hidden="false" customHeight="false" outlineLevel="0" collapsed="false">
      <c r="A4" s="11" t="s">
        <v>132</v>
      </c>
      <c r="B4" s="12" t="n">
        <f aca="false">COUNTIF(Suivi!$I$2:$I$91,"Brouillon prêt")</f>
        <v>25</v>
      </c>
    </row>
    <row r="5" customFormat="false" ht="15" hidden="false" customHeight="false" outlineLevel="0" collapsed="false">
      <c r="A5" s="11" t="s">
        <v>133</v>
      </c>
      <c r="B5" s="12" t="n">
        <f aca="false">COUNTIF(Suivi!$I$2:$I$91,"Envoyé")+COUNTIF(Suivi!$I$2:$I$91,"Relancé")+COUNTIF(Suivi!$I$2:$I$91,"Répondu")+COUNTIF(Suivi!$I$2:$I$91,"Lien obtenu")+COUNTIF(Suivi!$I$2:$I$91,"Refus")+COUNTIF(Suivi!$I$2:$I$91,"Pas de réponse")</f>
        <v>0</v>
      </c>
    </row>
    <row r="6" customFormat="false" ht="15" hidden="false" customHeight="false" outlineLevel="0" collapsed="false">
      <c r="A6" s="11" t="s">
        <v>134</v>
      </c>
      <c r="B6" s="12" t="n">
        <f aca="false">COUNTIF(Suivi!$I$2:$I$91,"Relancé")</f>
        <v>0</v>
      </c>
    </row>
    <row r="7" customFormat="false" ht="15" hidden="false" customHeight="false" outlineLevel="0" collapsed="false">
      <c r="A7" s="11" t="s">
        <v>135</v>
      </c>
      <c r="B7" s="12" t="n">
        <f aca="false">COUNTIF(Suivi!$M$2:$M$91,"Oui")</f>
        <v>0</v>
      </c>
    </row>
    <row r="8" customFormat="false" ht="15" hidden="false" customHeight="false" outlineLevel="0" collapsed="false">
      <c r="A8" s="11" t="s">
        <v>136</v>
      </c>
      <c r="B8" s="12" t="n">
        <f aca="false">COUNTIF(Suivi!$I$2:$I$91,"Lien obtenu")</f>
        <v>0</v>
      </c>
    </row>
    <row r="9" customFormat="false" ht="15" hidden="false" customHeight="false" outlineLevel="0" collapsed="false">
      <c r="A9" s="11" t="s">
        <v>137</v>
      </c>
      <c r="B9" s="12" t="n">
        <f aca="false">COUNTIF(Suivi!$I$2:$I$91,"Refus")</f>
        <v>0</v>
      </c>
    </row>
    <row r="10" customFormat="false" ht="15" hidden="false" customHeight="false" outlineLevel="0" collapsed="false">
      <c r="A10" s="11" t="s">
        <v>138</v>
      </c>
      <c r="B10" s="12" t="n">
        <f aca="false">COUNTIF(Suivi!$I$2:$I$91,"Adresse invalide")</f>
        <v>0</v>
      </c>
    </row>
    <row r="11" customFormat="false" ht="15" hidden="false" customHeight="false" outlineLevel="0" collapsed="false">
      <c r="A11" s="11" t="s">
        <v>139</v>
      </c>
      <c r="B11" s="13" t="n">
        <f aca="false">IFERROR(B6/B4,0)</f>
        <v>0</v>
      </c>
    </row>
    <row r="12" customFormat="false" ht="15" hidden="false" customHeight="false" outlineLevel="0" collapsed="false">
      <c r="A12" s="11" t="s">
        <v>140</v>
      </c>
      <c r="B12" s="13" t="n">
        <f aca="false">IFERROR(B7/B4,0)</f>
        <v>0</v>
      </c>
    </row>
    <row r="13" customFormat="false" ht="15" hidden="false" customHeight="false" outlineLevel="0" collapsed="false">
      <c r="A13" s="11" t="s">
        <v>141</v>
      </c>
      <c r="B13" s="12" t="n">
        <f aca="true">COUNTIFS(Suivi!$K$2:$K$91,"&lt;="&amp;TODAY(),Suivi!$I$2:$I$91,"Envoyé",Suivi!$L$2:$L$91,"")</f>
        <v>0</v>
      </c>
    </row>
    <row r="15" customFormat="false" ht="15" hidden="false" customHeight="false" outlineLevel="0" collapsed="false">
      <c r="A15" s="14" t="s">
        <v>142</v>
      </c>
    </row>
    <row r="17" customFormat="false" ht="15" hidden="false" customHeight="false" outlineLevel="0" collapsed="false">
      <c r="A17" s="12" t="s">
        <v>143</v>
      </c>
    </row>
    <row r="18" customFormat="false" ht="15" hidden="false" customHeight="false" outlineLevel="0" collapsed="false">
      <c r="A18" s="12" t="s">
        <v>1</v>
      </c>
      <c r="B18" s="12" t="s">
        <v>144</v>
      </c>
      <c r="C18" s="12" t="s">
        <v>145</v>
      </c>
      <c r="D18" s="12" t="s">
        <v>146</v>
      </c>
    </row>
    <row r="19" customFormat="false" ht="15" hidden="false" customHeight="false" outlineLevel="0" collapsed="false">
      <c r="A19" s="11" t="s">
        <v>15</v>
      </c>
      <c r="B19" s="11" t="n">
        <f aca="false">COUNTIF(Suivi!$B$2:$B$91,A19)</f>
        <v>5</v>
      </c>
      <c r="C19" s="11" t="n">
        <f aca="false">COUNTIFS(Suivi!$B$2:$B$91,A19,Suivi!$J$2:$J$91,"&lt;&gt;")</f>
        <v>0</v>
      </c>
      <c r="D19" s="11" t="n">
        <f aca="false">COUNTIFS(Suivi!$B$2:$B$91,A19,Suivi!$I$2:$I$91,"Lien obtenu")</f>
        <v>0</v>
      </c>
    </row>
    <row r="20" customFormat="false" ht="15" hidden="false" customHeight="false" outlineLevel="0" collapsed="false">
      <c r="A20" s="11" t="s">
        <v>41</v>
      </c>
      <c r="B20" s="11" t="n">
        <f aca="false">COUNTIF(Suivi!$B$2:$B$91,A20)</f>
        <v>1</v>
      </c>
      <c r="C20" s="11" t="n">
        <f aca="false">COUNTIFS(Suivi!$B$2:$B$91,A20,Suivi!$J$2:$J$91,"&lt;&gt;")</f>
        <v>0</v>
      </c>
      <c r="D20" s="11" t="n">
        <f aca="false">COUNTIFS(Suivi!$B$2:$B$91,A20,Suivi!$I$2:$I$91,"Lien obtenu")</f>
        <v>0</v>
      </c>
    </row>
    <row r="21" customFormat="false" ht="15" hidden="false" customHeight="false" outlineLevel="0" collapsed="false">
      <c r="A21" s="11" t="s">
        <v>47</v>
      </c>
      <c r="B21" s="11" t="n">
        <f aca="false">COUNTIF(Suivi!$B$2:$B$91,A21)</f>
        <v>2</v>
      </c>
      <c r="C21" s="11" t="n">
        <f aca="false">COUNTIFS(Suivi!$B$2:$B$91,A21,Suivi!$J$2:$J$91,"&lt;&gt;")</f>
        <v>0</v>
      </c>
      <c r="D21" s="11" t="n">
        <f aca="false">COUNTIFS(Suivi!$B$2:$B$91,A21,Suivi!$I$2:$I$91,"Lien obtenu")</f>
        <v>0</v>
      </c>
    </row>
    <row r="22" customFormat="false" ht="15" hidden="false" customHeight="false" outlineLevel="0" collapsed="false">
      <c r="A22" s="11" t="s">
        <v>66</v>
      </c>
      <c r="B22" s="11" t="n">
        <f aca="false">COUNTIF(Suivi!$B$2:$B$91,A22)</f>
        <v>7</v>
      </c>
      <c r="C22" s="11" t="n">
        <f aca="false">COUNTIFS(Suivi!$B$2:$B$91,A22,Suivi!$J$2:$J$91,"&lt;&gt;")</f>
        <v>0</v>
      </c>
      <c r="D22" s="11" t="n">
        <f aca="false">COUNTIFS(Suivi!$B$2:$B$91,A22,Suivi!$I$2:$I$91,"Lien obtenu")</f>
        <v>0</v>
      </c>
    </row>
    <row r="23" customFormat="false" ht="15" hidden="false" customHeight="false" outlineLevel="0" collapsed="false">
      <c r="A23" s="11" t="s">
        <v>92</v>
      </c>
      <c r="B23" s="11" t="n">
        <f aca="false">COUNTIF(Suivi!$B$2:$B$91,A23)</f>
        <v>11</v>
      </c>
      <c r="C23" s="11" t="n">
        <f aca="false">COUNTIFS(Suivi!$B$2:$B$91,A23,Suivi!$J$2:$J$91,"&lt;&gt;")</f>
        <v>0</v>
      </c>
      <c r="D23" s="11" t="n">
        <f aca="false">COUNTIFS(Suivi!$B$2:$B$91,A23,Suivi!$I$2:$I$91,"Lien obtenu")</f>
        <v>0</v>
      </c>
    </row>
    <row r="24" customFormat="false" ht="15" hidden="false" customHeight="false" outlineLevel="0" collapsed="false">
      <c r="A24" s="11" t="s">
        <v>125</v>
      </c>
      <c r="B24" s="11" t="n">
        <f aca="false">COUNTIF(Suivi!$B$2:$B$91,A24)</f>
        <v>1</v>
      </c>
      <c r="C24" s="11" t="n">
        <f aca="false">COUNTIFS(Suivi!$B$2:$B$91,A24,Suivi!$J$2:$J$91,"&lt;&gt;")</f>
        <v>0</v>
      </c>
      <c r="D24" s="11" t="n">
        <f aca="false">COUNTIFS(Suivi!$B$2:$B$91,A24,Suivi!$I$2:$I$91,"Lien obtenu")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0" t="s">
        <v>147</v>
      </c>
    </row>
    <row r="2" customFormat="false" ht="15" hidden="false" customHeight="false" outlineLevel="0" collapsed="false">
      <c r="A2" s="6"/>
    </row>
    <row r="3" customFormat="false" ht="15" hidden="false" customHeight="false" outlineLevel="0" collapsed="false">
      <c r="A3" s="6" t="s">
        <v>148</v>
      </c>
    </row>
    <row r="4" customFormat="false" ht="15" hidden="false" customHeight="false" outlineLevel="0" collapsed="false">
      <c r="A4" s="6" t="s">
        <v>149</v>
      </c>
    </row>
    <row r="5" customFormat="false" ht="15" hidden="false" customHeight="false" outlineLevel="0" collapsed="false">
      <c r="A5" s="6"/>
    </row>
    <row r="6" customFormat="false" ht="15" hidden="false" customHeight="false" outlineLevel="0" collapsed="false">
      <c r="A6" s="6" t="s">
        <v>150</v>
      </c>
    </row>
    <row r="7" customFormat="false" ht="15" hidden="false" customHeight="false" outlineLevel="0" collapsed="false">
      <c r="A7" s="6" t="s">
        <v>151</v>
      </c>
    </row>
    <row r="8" customFormat="false" ht="15" hidden="false" customHeight="false" outlineLevel="0" collapsed="false">
      <c r="A8" s="6" t="s">
        <v>152</v>
      </c>
    </row>
    <row r="9" customFormat="false" ht="15" hidden="false" customHeight="false" outlineLevel="0" collapsed="false">
      <c r="A9" s="6" t="s">
        <v>153</v>
      </c>
    </row>
    <row r="10" customFormat="false" ht="15" hidden="false" customHeight="false" outlineLevel="0" collapsed="false">
      <c r="A10" s="6" t="s">
        <v>154</v>
      </c>
    </row>
    <row r="11" customFormat="false" ht="15" hidden="false" customHeight="false" outlineLevel="0" collapsed="false">
      <c r="A11" s="6"/>
    </row>
    <row r="12" customFormat="false" ht="15" hidden="false" customHeight="false" outlineLevel="0" collapsed="false">
      <c r="A12" s="6" t="s">
        <v>155</v>
      </c>
    </row>
    <row r="13" customFormat="false" ht="15" hidden="false" customHeight="false" outlineLevel="0" collapsed="false">
      <c r="A13" s="6" t="s">
        <v>156</v>
      </c>
    </row>
    <row r="14" customFormat="false" ht="15" hidden="false" customHeight="false" outlineLevel="0" collapsed="false">
      <c r="A14" s="6" t="s">
        <v>157</v>
      </c>
    </row>
    <row r="15" customFormat="false" ht="15" hidden="false" customHeight="false" outlineLevel="0" collapsed="false">
      <c r="A15" s="6" t="s">
        <v>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2026-10-19T10:02:03Z</dcterms:created>
  <dc:creator>openpyxl</dc:creator>
  <dc:description/>
  <dc:language>en-US</dc:language>
  <cp:lastModifiedBy/>
  <dcterms:modified xsi:type="dcterms:W3CDTF">2026-10-19T10:02:03Z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