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<sst xmlns="http://schemas.openxmlformats.org/spreadsheetml/2006/main" count="849" uniqueCount="356">
  <si>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</si>
  <si>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</si>
  <si>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</si>
  <si>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</si>
  <si>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</si>
  <si>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</si>
  <si>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</si>
  <si>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</si>
  <si>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</si>
  <si>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</si>
  <si>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</si>
  <si>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</si>
  <si>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</si>
  <si>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</si>
  <si>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</si>
  <si>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</si>
  <si>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</si>
  <si>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</si>
  <si>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</si>
  <si>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</si>
  <si>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</si>
  <si>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</si>
  <si>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</si>
  <si>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</si>
  <si>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</si>
  <si>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</si>
  <si>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</si>
  <si>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</si>
  <si>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</si>
  <si>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</si>
  <si>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</si>
  <si>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</si>
  <si>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</si>
  <si>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</si>
  <si>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</si>
  <si>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</si>
  <si>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</si>
  <si>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</si>
  <si>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</si>
  <si>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</si>
  <si>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</si>
  <si>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</si>
  <si>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</si>
  <si>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</si>
  <si>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</si>
  <si>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</si>
  <si>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</si>
  <si>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À compléter</t>
  </si>
  <si>
    <t xml:space="preserve">Brouillon sans destinataire : passer par le formulaire du site, ou supprimer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</si>
  <si>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</si>
  <si>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</si>
  <si>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</si>
  <si>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</si>
  <si>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</si>
  <si>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</si>
  <si>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</si>
  <si>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</si>
  <si>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</si>
  <si>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</si>
  <si>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</si>
  <si>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</si>
  <si>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</si>
  <si>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</si>
  <si>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</si>
  <si>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Brouillon prêt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</si>
  <si>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</si>
  <si>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</si>
  <si>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</si>
  <si>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</si>
  <si>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</si>
  <si>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</si>
  <si>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</si>
  <si>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</si>
  <si>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</si>
  <si>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</si>
  <si>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</si>
  <si>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</si>
  <si>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</si>
  <si>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</si>
  <si>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</si>
  <si>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</si>
  <si>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</si>
  <si>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</si>
  <si>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</si>
  <si>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</si>
  <si>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</si>
  <si>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</si>
  <si>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</si>
  <si>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</si>
  <si>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</si>
  <si>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</si>
  <si>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</si>
  <si>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</si>
  <si>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</si>
  <si>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</si>
  <si>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</si>
  <si>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</si>
  <si>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</si>
  <si>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</si>
  <si>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</si>
  <si>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</si>
  <si>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</si>
  <si>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</si>
  <si>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</si>
  <si>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</si>
  <si>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</si>
  <si>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</si>
  <si>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</si>
  <si>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</si>
  <si>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</si>
  <si>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</si>
  <si>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</si>
  <si>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</si>
  <si>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</si>
  <si>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</si>
  <si>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</si>
  <si>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</si>
  <si>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</si>
  <si>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</si>
  <si>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</si>
  <si>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</si>
  <si>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</si>
  <si>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</si>
  <si>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</si>
  <si>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</si>
  <si>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</si>
  <si>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</si>
  <si>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</si>
  <si>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</si>
  <si>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Adresse invalide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</si>
  <si>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</si>
  <si>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</si>
  <si>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</si>
  <si>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</si>
  <si>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</si>
  <si>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</si>
  <si>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</si>
  <si>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</si>
  <si>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</si>
  <si>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</si>
  <si>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</si>
  <si>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</si>
  <si>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Envoi conseillé : jour 2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</si>
  <si>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</si>
  <si>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</si>
  <si>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</si>
  <si>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</si>
  <si>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</si>
  <si>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</si>
  <si>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</si>
  <si>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</si>
  <si>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</si>
  <si>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</si>
  <si>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</si>
  <si>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</si>
  <si>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</si>
  <si>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</si>
  <si>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</si>
  <si>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</si>
  <si>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</si>
  <si>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</si>
  <si>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</si>
  <si>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</si>
  <si>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</si>
  <si>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</si>
  <si>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</si>
  <si>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</si>
  <si>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</si>
  <si>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</si>
  <si>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</si>
  <si>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</si>
  <si>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</si>
  <si>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</si>
  <si>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</si>
  <si>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</si>
  <si>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</si>
  <si>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</si>
  <si>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</si>
  <si>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</si>
  <si>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</si>
  <si>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Envoi conseillé : jour 3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</si>
  <si>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</si>
  <si>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</si>
  <si>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</si>
  <si>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</si>
  <si>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</si>
  <si>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</si>
  <si>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</si>
  <si>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</si>
  <si>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</si>
  <si>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</si>
  <si>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</si>
  <si>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</si>
  <si>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</si>
  <si>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</si>
  <si>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</si>
  <si>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</si>
  <si>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</si>
  <si>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</si>
  <si>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</si>
  <si>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</si>
  <si>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</si>
  <si>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</si>
  <si>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</si>
  <si>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</si>
  <si>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</si>
  <si>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</si>
  <si>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</si>
  <si>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</si>
  <si>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</si>
  <si>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</si>
  <si>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</si>
  <si>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</si>
  <si>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</si>
  <si>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</si>
  <si>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</si>
  <si>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</si>
  <si>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</si>
  <si>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</si>
  <si>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</si>
  <si>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</si>
  <si>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</si>
  <si>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</si>
  <si>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</si>
  <si>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</si>
  <si>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</si>
  <si>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</si>
  <si>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</si>
  <si>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</si>
  <si>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</si>
  <si>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</si>
  <si>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</si>
  <si>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</si>
  <si>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</si>
  <si>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</si>
  <si>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</si>
  <si>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</si>
  <si>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</si>
  <si>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</si>
  <si>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</si>
  <si>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</si>
  <si>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</si>
  <si>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Envoi conseillé : jour 4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</si>
  <si>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</si>
  <si>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</si>
  <si>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</si>
  <si>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</si>
  <si>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</si>
  <si>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</si>
  <si>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</si>
  <si>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</si>
  <si>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</si>
  <si>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</si>
  <si>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</si>
  <si>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</si>
  <si>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</si>
  <si>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</si>
  <si>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</si>
  <si>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</si>
  <si>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</si>
  <si>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</si>
  <si>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</si>
  <si>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</si>
  <si>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</si>
  <si>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</si>
  <si>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</si>
  <si>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</si>
  <si>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</si>
  <si>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</si>
  <si>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</si>
  <si>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</si>
  <si>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</si>
  <si>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</si>
  <si>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</si>
  <si>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</si>
  <si>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</si>
  <si>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</si>
  <si>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</si>
  <si>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</si>
  <si>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</si>
  <si>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</si>
  <si>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</si>
  <si>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</si>
  <si>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</si>
  <si>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</si>
  <si>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</si>
  <si>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</si>
  <si>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</si>
  <si>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</si>
  <si>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</si>
  <si>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</si>
  <si>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</si>
  <si>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</si>
  <si>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</si>
  <si>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</si>
  <si>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</si>
  <si>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</si>
  <si>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</si>
  <si>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</si>
  <si>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</si>
  <si>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</si>
  <si>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</si>
  <si>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</si>
  <si>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</si>
  <si>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</si>
  <si>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</si>
  <si>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</si>
  <si>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</si>
  <si>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</si>
  <si>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</si>
  <si>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</si>
  <si>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</si>
  <si>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</si>
  <si>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</si>
  <si>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</si>
  <si>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</si>
  <si>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</si>
  <si>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</si>
  <si>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</si>
  <si>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</si>
  <si>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</si>
  <si>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</si>
  <si>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</si>
  <si>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</si>
  <si>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</si>
  <si>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</si>
  <si>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</si>
  <si>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</si>
  <si>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</si>
  <si>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</si>
  <si>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</si>
  <si>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</si>
  <si>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Refus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</si>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</sst>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22</v>
      </c>
      <c r="J3" s="5" t="n">
        <v>46314</v>
      </c>
      <c r="K3" s="6" t="n">
        <f aca="false">IF(J3="","",WORKDAY(J3+4,1))</f>
        <v>46321</v>
      </c>
      <c r="L3" s="5"/>
      <c r="M3" s="4"/>
      <c r="N3" s="4"/>
      <c r="O3" s="4" t="s">
        <v>23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28</v>
      </c>
      <c r="D4" s="3" t="s">
        <v>17</v>
      </c>
      <c r="E4" s="3" t="s">
        <v>29</v>
      </c>
      <c r="F4" s="3" t="s">
        <v>30</v>
      </c>
      <c r="G4" s="3" t="s">
        <v>31</v>
      </c>
      <c r="H4" s="3" t="s">
        <v>32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33</v>
      </c>
      <c r="D5" s="3" t="s">
        <v>17</v>
      </c>
      <c r="E5" s="3" t="s">
        <v>34</v>
      </c>
      <c r="F5" s="3" t="s">
        <v>30</v>
      </c>
      <c r="G5" s="3" t="s">
        <v>35</v>
      </c>
      <c r="H5" s="3" t="s">
        <v>36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37</v>
      </c>
      <c r="D6" s="3" t="s">
        <v>17</v>
      </c>
      <c r="E6" s="3" t="s">
        <v>38</v>
      </c>
      <c r="F6" s="3" t="s">
        <v>30</v>
      </c>
      <c r="G6" s="3" t="s">
        <v>39</v>
      </c>
      <c r="H6" s="3" t="s">
        <v>40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41</v>
      </c>
      <c r="C7" s="3" t="s">
        <v>42</v>
      </c>
      <c r="D7" s="3" t="s">
        <v>17</v>
      </c>
      <c r="E7" s="3" t="s">
        <v>43</v>
      </c>
      <c r="F7" s="3" t="s">
        <v>44</v>
      </c>
      <c r="G7" s="3" t="s">
        <v>45</v>
      </c>
      <c r="H7" s="3" t="s">
        <v>46</v>
      </c>
      <c r="I7" s="4" t="s">
        <v>47</v>
      </c>
      <c r="J7" s="5"/>
      <c r="K7" s="6" t="str">
        <f aca="false">IF(J7="","",WORKDAY(J7+4,1))</f>
        <v/>
      </c>
      <c r="L7" s="5"/>
      <c r="M7" s="4"/>
      <c r="N7" s="4"/>
      <c r="O7" s="4" t="s">
        <v>48</v>
      </c>
    </row>
    <row r="8" customFormat="false" ht="23.25" hidden="false" customHeight="true" outlineLevel="0" collapsed="false">
      <c r="A8" s="3" t="n">
        <v>7</v>
      </c>
      <c r="B8" s="3" t="s">
        <v>49</v>
      </c>
      <c r="C8" s="3" t="s">
        <v>50</v>
      </c>
      <c r="D8" s="3" t="s">
        <v>17</v>
      </c>
      <c r="E8" s="3" t="s">
        <v>51</v>
      </c>
      <c r="F8" s="3" t="s">
        <v>30</v>
      </c>
      <c r="G8" s="3" t="s">
        <v>52</v>
      </c>
      <c r="H8" s="3" t="s">
        <v>53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49</v>
      </c>
      <c r="C9" s="3" t="s">
        <v>54</v>
      </c>
      <c r="D9" s="3" t="s">
        <v>17</v>
      </c>
      <c r="E9" s="3" t="s">
        <v>55</v>
      </c>
      <c r="F9" s="3" t="s">
        <v>30</v>
      </c>
      <c r="G9" s="3" t="s">
        <v>52</v>
      </c>
      <c r="H9" s="3" t="s">
        <v>56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57</v>
      </c>
      <c r="C10" s="3" t="s">
        <v>58</v>
      </c>
      <c r="D10" s="3" t="s">
        <v>59</v>
      </c>
      <c r="E10" s="3" t="s">
        <v>60</v>
      </c>
      <c r="F10" s="3" t="s">
        <v>61</v>
      </c>
      <c r="G10" s="3" t="s">
        <v>62</v>
      </c>
      <c r="H10" s="3" t="s">
        <v>63</v>
      </c>
      <c r="I10" s="4" t="s">
        <v>64</v>
      </c>
      <c r="J10" s="5"/>
      <c r="K10" s="6" t="str">
        <f aca="false">IF(J10="","",WORKDAY(J10+4,1))</f>
        <v/>
      </c>
      <c r="L10" s="5"/>
      <c r="M10" s="4"/>
      <c r="N10" s="4"/>
      <c r="O10" s="4" t="s">
        <v>65</v>
      </c>
    </row>
    <row r="11" customFormat="false" ht="23.25" hidden="false" customHeight="true" outlineLevel="0" collapsed="false">
      <c r="A11" s="3" t="n">
        <v>10</v>
      </c>
      <c r="B11" s="3" t="s">
        <v>57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62</v>
      </c>
      <c r="H11" s="3" t="s">
        <v>63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57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62</v>
      </c>
      <c r="H12" s="3" t="s">
        <v>63</v>
      </c>
      <c r="I12" s="4" t="s">
        <v>64</v>
      </c>
      <c r="J12" s="5"/>
      <c r="K12" s="6" t="str">
        <f aca="false">IF(J12="","",WORKDAY(J12+4,1))</f>
        <v/>
      </c>
      <c r="L12" s="5"/>
      <c r="M12" s="4"/>
      <c r="N12" s="4"/>
      <c r="O12" s="4" t="s">
        <v>65</v>
      </c>
    </row>
    <row r="13" customFormat="false" ht="23.25" hidden="false" customHeight="true" outlineLevel="0" collapsed="false">
      <c r="A13" s="3" t="n">
        <v>12</v>
      </c>
      <c r="B13" s="3" t="s">
        <v>57</v>
      </c>
      <c r="C13" s="3" t="s">
        <v>74</v>
      </c>
      <c r="D13" s="3" t="s">
        <v>75</v>
      </c>
      <c r="E13" s="3" t="s">
        <v>76</v>
      </c>
      <c r="F13" s="3" t="s">
        <v>77</v>
      </c>
      <c r="G13" s="3" t="s">
        <v>62</v>
      </c>
      <c r="H13" s="3" t="s">
        <v>63</v>
      </c>
      <c r="I13" s="4" t="s">
        <v>64</v>
      </c>
      <c r="J13" s="5"/>
      <c r="K13" s="6" t="str">
        <f aca="false">IF(J13="","",WORKDAY(J13+4,1))</f>
        <v/>
      </c>
      <c r="L13" s="5"/>
      <c r="M13" s="4"/>
      <c r="N13" s="4"/>
      <c r="O13" s="4" t="s">
        <v>65</v>
      </c>
    </row>
    <row r="14" customFormat="false" ht="23.25" hidden="false" customHeight="true" outlineLevel="0" collapsed="false">
      <c r="A14" s="3" t="n">
        <v>13</v>
      </c>
      <c r="B14" s="3" t="s">
        <v>57</v>
      </c>
      <c r="C14" s="3" t="s">
        <v>78</v>
      </c>
      <c r="D14" s="3" t="s">
        <v>75</v>
      </c>
      <c r="E14" s="3" t="s">
        <v>79</v>
      </c>
      <c r="F14" s="3" t="s">
        <v>77</v>
      </c>
      <c r="G14" s="3" t="s">
        <v>62</v>
      </c>
      <c r="H14" s="3" t="s">
        <v>63</v>
      </c>
      <c r="I14" s="4" t="s">
        <v>64</v>
      </c>
      <c r="J14" s="5"/>
      <c r="K14" s="6" t="str">
        <f aca="false">IF(J14="","",WORKDAY(J14+4,1))</f>
        <v/>
      </c>
      <c r="L14" s="5"/>
      <c r="M14" s="4"/>
      <c r="N14" s="4"/>
      <c r="O14" s="4" t="s">
        <v>65</v>
      </c>
    </row>
    <row r="15" customFormat="false" ht="23.25" hidden="false" customHeight="true" outlineLevel="0" collapsed="false">
      <c r="A15" s="3" t="n">
        <v>14</v>
      </c>
      <c r="B15" s="3" t="s">
        <v>57</v>
      </c>
      <c r="C15" s="3" t="s">
        <v>80</v>
      </c>
      <c r="D15" s="3" t="s">
        <v>81</v>
      </c>
      <c r="E15" s="3" t="s">
        <v>82</v>
      </c>
      <c r="F15" s="3" t="s">
        <v>77</v>
      </c>
      <c r="G15" s="3" t="s">
        <v>62</v>
      </c>
      <c r="H15" s="3" t="s">
        <v>63</v>
      </c>
      <c r="I15" s="4" t="s">
        <v>64</v>
      </c>
      <c r="J15" s="5"/>
      <c r="K15" s="6" t="str">
        <f aca="false">IF(J15="","",WORKDAY(J15+4,1))</f>
        <v/>
      </c>
      <c r="L15" s="5"/>
      <c r="M15" s="4"/>
      <c r="N15" s="4"/>
      <c r="O15" s="4" t="s">
        <v>65</v>
      </c>
    </row>
    <row r="16" customFormat="false" ht="23.25" hidden="false" customHeight="true" outlineLevel="0" collapsed="false">
      <c r="A16" s="3" t="n">
        <v>15</v>
      </c>
      <c r="B16" s="3" t="s">
        <v>57</v>
      </c>
      <c r="C16" s="3" t="s">
        <v>83</v>
      </c>
      <c r="D16" s="3" t="s">
        <v>84</v>
      </c>
      <c r="E16" s="3" t="s">
        <v>85</v>
      </c>
      <c r="F16" s="3" t="s">
        <v>86</v>
      </c>
      <c r="G16" s="3" t="s">
        <v>62</v>
      </c>
      <c r="H16" s="3" t="s">
        <v>63</v>
      </c>
      <c r="I16" s="4" t="s">
        <v>64</v>
      </c>
      <c r="J16" s="5"/>
      <c r="K16" s="6" t="str">
        <f aca="false">IF(J16="","",WORKDAY(J16+4,1))</f>
        <v/>
      </c>
      <c r="L16" s="5"/>
      <c r="M16" s="4"/>
      <c r="N16" s="4"/>
      <c r="O16" s="4" t="s">
        <v>65</v>
      </c>
    </row>
    <row r="17" customFormat="false" ht="23.25" hidden="false" customHeight="true" outlineLevel="0" collapsed="false">
      <c r="A17" s="3" t="n">
        <v>16</v>
      </c>
      <c r="B17" s="3" t="s">
        <v>87</v>
      </c>
      <c r="C17" s="3" t="s">
        <v>88</v>
      </c>
      <c r="D17" s="3" t="s">
        <v>59</v>
      </c>
      <c r="E17" s="3" t="s">
        <v>89</v>
      </c>
      <c r="F17" s="3" t="s">
        <v>61</v>
      </c>
      <c r="G17" s="3" t="s">
        <v>90</v>
      </c>
      <c r="H17" s="3" t="s">
        <v>91</v>
      </c>
      <c r="I17" s="4" t="s">
        <v>64</v>
      </c>
      <c r="J17" s="5"/>
      <c r="K17" s="6" t="str">
        <f aca="false">IF(J17="","",WORKDAY(J17+4,1))</f>
        <v/>
      </c>
      <c r="L17" s="5"/>
      <c r="M17" s="4"/>
      <c r="N17" s="4"/>
      <c r="O17" s="4" t="s">
        <v>65</v>
      </c>
    </row>
    <row r="18" customFormat="false" ht="23.25" hidden="false" customHeight="true" outlineLevel="0" collapsed="false">
      <c r="A18" s="3" t="n">
        <v>17</v>
      </c>
      <c r="B18" s="3" t="s">
        <v>87</v>
      </c>
      <c r="C18" s="3" t="s">
        <v>92</v>
      </c>
      <c r="D18" s="3" t="s">
        <v>93</v>
      </c>
      <c r="E18" s="3" t="s">
        <v>94</v>
      </c>
      <c r="F18" s="3" t="s">
        <v>95</v>
      </c>
      <c r="G18" s="3" t="s">
        <v>90</v>
      </c>
      <c r="H18" s="3" t="s">
        <v>91</v>
      </c>
      <c r="I18" s="4" t="s">
        <v>64</v>
      </c>
      <c r="J18" s="5"/>
      <c r="K18" s="6" t="str">
        <f aca="false">IF(J18="","",WORKDAY(J18+4,1))</f>
        <v/>
      </c>
      <c r="L18" s="5"/>
      <c r="M18" s="4"/>
      <c r="N18" s="4"/>
      <c r="O18" s="4" t="s">
        <v>65</v>
      </c>
    </row>
    <row r="19" customFormat="false" ht="23.25" hidden="false" customHeight="true" outlineLevel="0" collapsed="false">
      <c r="A19" s="3" t="n">
        <v>18</v>
      </c>
      <c r="B19" s="3" t="s">
        <v>87</v>
      </c>
      <c r="C19" s="3" t="s">
        <v>96</v>
      </c>
      <c r="D19" s="3" t="s">
        <v>97</v>
      </c>
      <c r="E19" s="3" t="s">
        <v>98</v>
      </c>
      <c r="F19" s="3" t="s">
        <v>77</v>
      </c>
      <c r="G19" s="3" t="s">
        <v>90</v>
      </c>
      <c r="H19" s="3" t="s">
        <v>91</v>
      </c>
      <c r="I19" s="4" t="s">
        <v>64</v>
      </c>
      <c r="J19" s="5"/>
      <c r="K19" s="6" t="str">
        <f aca="false">IF(J19="","",WORKDAY(J19+4,1))</f>
        <v/>
      </c>
      <c r="L19" s="5"/>
      <c r="M19" s="4"/>
      <c r="N19" s="4"/>
      <c r="O19" s="4" t="s">
        <v>65</v>
      </c>
    </row>
    <row r="20" customFormat="false" ht="23.25" hidden="false" customHeight="true" outlineLevel="0" collapsed="false">
      <c r="A20" s="3" t="n">
        <v>19</v>
      </c>
      <c r="B20" s="3" t="s">
        <v>87</v>
      </c>
      <c r="C20" s="3" t="s">
        <v>99</v>
      </c>
      <c r="D20" s="3" t="s">
        <v>67</v>
      </c>
      <c r="E20" s="3" t="s">
        <v>100</v>
      </c>
      <c r="F20" s="3" t="s">
        <v>77</v>
      </c>
      <c r="G20" s="3" t="s">
        <v>90</v>
      </c>
      <c r="H20" s="3" t="s">
        <v>91</v>
      </c>
      <c r="I20" s="4" t="s">
        <v>64</v>
      </c>
      <c r="J20" s="5"/>
      <c r="K20" s="6" t="str">
        <f aca="false">IF(J20="","",WORKDAY(J20+4,1))</f>
        <v/>
      </c>
      <c r="L20" s="5"/>
      <c r="M20" s="4"/>
      <c r="N20" s="4"/>
      <c r="O20" s="4" t="s">
        <v>65</v>
      </c>
    </row>
    <row r="21" customFormat="false" ht="23.25" hidden="false" customHeight="true" outlineLevel="0" collapsed="false">
      <c r="A21" s="3" t="n">
        <v>20</v>
      </c>
      <c r="B21" s="3" t="s">
        <v>87</v>
      </c>
      <c r="C21" s="3" t="s">
        <v>101</v>
      </c>
      <c r="D21" s="3" t="s">
        <v>102</v>
      </c>
      <c r="E21" s="3" t="s">
        <v>103</v>
      </c>
      <c r="F21" s="3" t="s">
        <v>77</v>
      </c>
      <c r="G21" s="3" t="s">
        <v>90</v>
      </c>
      <c r="H21" s="3" t="s">
        <v>91</v>
      </c>
      <c r="I21" s="4" t="s">
        <v>64</v>
      </c>
      <c r="J21" s="5"/>
      <c r="K21" s="6" t="str">
        <f aca="false">IF(J21="","",WORKDAY(J21+4,1))</f>
        <v/>
      </c>
      <c r="L21" s="5"/>
      <c r="M21" s="4"/>
      <c r="N21" s="4"/>
      <c r="O21" s="4" t="s">
        <v>104</v>
      </c>
    </row>
    <row r="22" customFormat="false" ht="23.25" hidden="false" customHeight="true" outlineLevel="0" collapsed="false">
      <c r="A22" s="3" t="n">
        <v>21</v>
      </c>
      <c r="B22" s="3" t="s">
        <v>87</v>
      </c>
      <c r="C22" s="3" t="s">
        <v>105</v>
      </c>
      <c r="D22" s="3" t="s">
        <v>106</v>
      </c>
      <c r="E22" s="3" t="s">
        <v>107</v>
      </c>
      <c r="F22" s="3" t="s">
        <v>108</v>
      </c>
      <c r="G22" s="3" t="s">
        <v>90</v>
      </c>
      <c r="H22" s="3" t="s">
        <v>91</v>
      </c>
      <c r="I22" s="4" t="s">
        <v>64</v>
      </c>
      <c r="J22" s="5"/>
      <c r="K22" s="6" t="str">
        <f aca="false">IF(J22="","",WORKDAY(J22+4,1))</f>
        <v/>
      </c>
      <c r="L22" s="5"/>
      <c r="M22" s="4"/>
      <c r="N22" s="4"/>
      <c r="O22" s="4" t="s">
        <v>104</v>
      </c>
    </row>
    <row r="23" customFormat="false" ht="23.25" hidden="false" customHeight="true" outlineLevel="0" collapsed="false">
      <c r="A23" s="3" t="n">
        <v>22</v>
      </c>
      <c r="B23" s="3" t="s">
        <v>87</v>
      </c>
      <c r="C23" s="3" t="s">
        <v>109</v>
      </c>
      <c r="D23" s="3" t="s">
        <v>71</v>
      </c>
      <c r="E23" s="3" t="s">
        <v>110</v>
      </c>
      <c r="F23" s="3" t="s">
        <v>77</v>
      </c>
      <c r="G23" s="3" t="s">
        <v>90</v>
      </c>
      <c r="H23" s="3" t="s">
        <v>91</v>
      </c>
      <c r="I23" s="4" t="s">
        <v>64</v>
      </c>
      <c r="J23" s="5"/>
      <c r="K23" s="6" t="str">
        <f aca="false">IF(J23="","",WORKDAY(J23+4,1))</f>
        <v/>
      </c>
      <c r="L23" s="5"/>
      <c r="M23" s="4"/>
      <c r="N23" s="4"/>
      <c r="O23" s="4" t="s">
        <v>104</v>
      </c>
    </row>
    <row r="24" customFormat="false" ht="23.25" hidden="false" customHeight="true" outlineLevel="0" collapsed="false">
      <c r="A24" s="3" t="n">
        <v>23</v>
      </c>
      <c r="B24" s="3" t="s">
        <v>87</v>
      </c>
      <c r="C24" s="3" t="s">
        <v>111</v>
      </c>
      <c r="D24" s="3" t="s">
        <v>81</v>
      </c>
      <c r="E24" s="3" t="s">
        <v>112</v>
      </c>
      <c r="F24" s="3" t="s">
        <v>113</v>
      </c>
      <c r="G24" s="3" t="s">
        <v>90</v>
      </c>
      <c r="H24" s="3" t="s">
        <v>91</v>
      </c>
      <c r="I24" s="4" t="s">
        <v>64</v>
      </c>
      <c r="J24" s="5"/>
      <c r="K24" s="6" t="str">
        <f aca="false">IF(J24="","",WORKDAY(J24+4,1))</f>
        <v/>
      </c>
      <c r="L24" s="5"/>
      <c r="M24" s="4"/>
      <c r="N24" s="4"/>
      <c r="O24" s="4" t="s">
        <v>104</v>
      </c>
    </row>
    <row r="25" customFormat="false" ht="23.25" hidden="false" customHeight="true" outlineLevel="0" collapsed="false">
      <c r="A25" s="3" t="n">
        <v>24</v>
      </c>
      <c r="B25" s="3" t="s">
        <v>87</v>
      </c>
      <c r="C25" s="3" t="s">
        <v>114</v>
      </c>
      <c r="D25" s="3" t="s">
        <v>81</v>
      </c>
      <c r="E25" s="3" t="s">
        <v>115</v>
      </c>
      <c r="F25" s="3" t="s">
        <v>116</v>
      </c>
      <c r="G25" s="3" t="s">
        <v>90</v>
      </c>
      <c r="H25" s="3" t="s">
        <v>91</v>
      </c>
      <c r="I25" s="4" t="s">
        <v>64</v>
      </c>
      <c r="J25" s="5"/>
      <c r="K25" s="6" t="str">
        <f aca="false">IF(J25="","",WORKDAY(J25+4,1))</f>
        <v/>
      </c>
      <c r="L25" s="5"/>
      <c r="M25" s="4"/>
      <c r="N25" s="4"/>
      <c r="O25" s="4" t="s">
        <v>104</v>
      </c>
    </row>
    <row r="26" customFormat="false" ht="23.25" hidden="false" customHeight="true" outlineLevel="0" collapsed="false">
      <c r="A26" s="3" t="n">
        <v>25</v>
      </c>
      <c r="B26" s="3" t="s">
        <v>87</v>
      </c>
      <c r="C26" s="3" t="s">
        <v>117</v>
      </c>
      <c r="D26" s="3" t="s">
        <v>84</v>
      </c>
      <c r="E26" s="3" t="s">
        <v>118</v>
      </c>
      <c r="F26" s="3" t="s">
        <v>119</v>
      </c>
      <c r="G26" s="3" t="s">
        <v>90</v>
      </c>
      <c r="H26" s="3" t="s">
        <v>91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87</v>
      </c>
      <c r="C27" s="3" t="s">
        <v>120</v>
      </c>
      <c r="D27" s="3" t="s">
        <v>121</v>
      </c>
      <c r="E27" s="3" t="s">
        <v>122</v>
      </c>
      <c r="F27" s="3" t="s">
        <v>77</v>
      </c>
      <c r="G27" s="3" t="s">
        <v>90</v>
      </c>
      <c r="H27" s="3" t="s">
        <v>91</v>
      </c>
      <c r="I27" s="4" t="s">
        <v>64</v>
      </c>
      <c r="J27" s="5"/>
      <c r="K27" s="6" t="str">
        <f aca="false">IF(J27="","",WORKDAY(J27+4,1))</f>
        <v/>
      </c>
      <c r="L27" s="5"/>
      <c r="M27" s="4"/>
      <c r="N27" s="4"/>
      <c r="O27" s="4" t="s">
        <v>104</v>
      </c>
    </row>
    <row r="28" customFormat="false" ht="23.25" hidden="false" customHeight="true" outlineLevel="0" collapsed="false">
      <c r="A28" s="3" t="n">
        <v>27</v>
      </c>
      <c r="B28" s="3" t="s">
        <v>123</v>
      </c>
      <c r="C28" s="3" t="s">
        <v>124</v>
      </c>
      <c r="D28" s="3" t="s">
        <v>17</v>
      </c>
      <c r="E28" s="3" t="s">
        <v>125</v>
      </c>
      <c r="F28" s="3" t="s">
        <v>126</v>
      </c>
      <c r="G28" s="3" t="s">
        <v>127</v>
      </c>
      <c r="H28" s="3" t="s">
        <v>128</v>
      </c>
      <c r="I28" s="4" t="s">
        <v>129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130</v>
      </c>
    </row>
    <row r="29" customFormat="false" ht="23.25" hidden="false" customHeight="true" outlineLevel="0" collapsed="false">
      <c r="A29" s="3" t="n">
        <v>28</v>
      </c>
      <c r="B29" s="3" t="s">
        <v>57</v>
      </c>
      <c r="C29" s="3" t="s">
        <v>131</v>
      </c>
      <c r="D29" s="3" t="s">
        <v>132</v>
      </c>
      <c r="E29" s="3" t="s">
        <v>133</v>
      </c>
      <c r="F29" s="3" t="s">
        <v>134</v>
      </c>
      <c r="G29" s="3" t="s">
        <v>62</v>
      </c>
      <c r="H29" s="3" t="s">
        <v>63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57</v>
      </c>
      <c r="C30" s="3" t="s">
        <v>135</v>
      </c>
      <c r="D30" s="3" t="s">
        <v>102</v>
      </c>
      <c r="E30" s="3" t="s">
        <v>136</v>
      </c>
      <c r="F30" s="3" t="s">
        <v>137</v>
      </c>
      <c r="G30" s="3" t="s">
        <v>62</v>
      </c>
      <c r="H30" s="3" t="s">
        <v>63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57</v>
      </c>
      <c r="C31" s="3" t="s">
        <v>138</v>
      </c>
      <c r="D31" s="3" t="s">
        <v>102</v>
      </c>
      <c r="E31" s="3" t="s">
        <v>139</v>
      </c>
      <c r="F31" s="3" t="s">
        <v>137</v>
      </c>
      <c r="G31" s="3" t="s">
        <v>62</v>
      </c>
      <c r="H31" s="3" t="s">
        <v>63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57</v>
      </c>
      <c r="C32" s="3" t="s">
        <v>140</v>
      </c>
      <c r="D32" s="3" t="s">
        <v>102</v>
      </c>
      <c r="E32" s="3" t="s">
        <v>141</v>
      </c>
      <c r="F32" s="3" t="s">
        <v>137</v>
      </c>
      <c r="G32" s="3" t="s">
        <v>62</v>
      </c>
      <c r="H32" s="3" t="s">
        <v>63</v>
      </c>
      <c r="I32" s="4" t="s">
        <v>64</v>
      </c>
      <c r="J32" s="5"/>
      <c r="K32" s="6" t="str">
        <f aca="false">IF(J32="","",WORKDAY(J32+4,1))</f>
        <v/>
      </c>
      <c r="L32" s="5"/>
      <c r="M32" s="4"/>
      <c r="N32" s="4"/>
      <c r="O32" s="4" t="s">
        <v>142</v>
      </c>
    </row>
    <row r="33" customFormat="false" ht="15" hidden="false" customHeight="true" outlineLevel="0" collapsed="false">
      <c r="A33" s="3" t="n">
        <v>32</v>
      </c>
      <c r="B33" s="3" t="s">
        <v>57</v>
      </c>
      <c r="C33" s="3" t="s">
        <v>143</v>
      </c>
      <c r="D33" s="3" t="s">
        <v>102</v>
      </c>
      <c r="E33" s="3" t="s">
        <v>144</v>
      </c>
      <c r="F33" s="3" t="s">
        <v>137</v>
      </c>
      <c r="G33" s="3" t="s">
        <v>62</v>
      </c>
      <c r="H33" s="3" t="s">
        <v>63</v>
      </c>
      <c r="I33" s="4" t="s">
        <v>64</v>
      </c>
      <c r="J33" s="5"/>
      <c r="K33" s="6" t="str">
        <f aca="false">IF(J33="","",WORKDAY(J33+4,1))</f>
        <v/>
      </c>
      <c r="L33" s="5"/>
      <c r="M33" s="4"/>
      <c r="N33" s="4"/>
      <c r="O33" s="4" t="s">
        <v>142</v>
      </c>
    </row>
    <row r="34" customFormat="false" ht="15" hidden="false" customHeight="true" outlineLevel="0" collapsed="false">
      <c r="A34" s="3" t="n">
        <v>33</v>
      </c>
      <c r="B34" s="3" t="s">
        <v>57</v>
      </c>
      <c r="C34" s="3" t="s">
        <v>145</v>
      </c>
      <c r="D34" s="3" t="s">
        <v>84</v>
      </c>
      <c r="E34" s="3" t="s">
        <v>146</v>
      </c>
      <c r="F34" s="3" t="s">
        <v>147</v>
      </c>
      <c r="G34" s="3" t="s">
        <v>62</v>
      </c>
      <c r="H34" s="3" t="s">
        <v>63</v>
      </c>
      <c r="I34" s="4" t="s">
        <v>64</v>
      </c>
      <c r="J34" s="5"/>
      <c r="K34" s="6" t="str">
        <f aca="false">IF(J34="","",WORKDAY(J34+4,1))</f>
        <v/>
      </c>
      <c r="L34" s="5"/>
      <c r="M34" s="4"/>
      <c r="N34" s="4"/>
      <c r="O34" s="4" t="s">
        <v>142</v>
      </c>
    </row>
    <row r="35" customFormat="false" ht="15" hidden="false" customHeight="true" outlineLevel="0" collapsed="false">
      <c r="A35" s="3" t="n">
        <v>34</v>
      </c>
      <c r="B35" s="3" t="s">
        <v>57</v>
      </c>
      <c r="C35" s="3" t="s">
        <v>148</v>
      </c>
      <c r="D35" s="3" t="s">
        <v>149</v>
      </c>
      <c r="E35" s="3" t="s">
        <v>150</v>
      </c>
      <c r="F35" s="3" t="s">
        <v>151</v>
      </c>
      <c r="G35" s="3" t="s">
        <v>62</v>
      </c>
      <c r="H35" s="3" t="s">
        <v>63</v>
      </c>
      <c r="I35" s="4" t="s">
        <v>64</v>
      </c>
      <c r="J35" s="5"/>
      <c r="K35" s="6" t="str">
        <f aca="false">IF(J35="","",WORKDAY(J35+4,1))</f>
        <v/>
      </c>
      <c r="L35" s="5"/>
      <c r="M35" s="4"/>
      <c r="N35" s="4"/>
      <c r="O35" s="4" t="s">
        <v>142</v>
      </c>
    </row>
    <row r="36" customFormat="false" ht="15" hidden="false" customHeight="true" outlineLevel="0" collapsed="false">
      <c r="A36" s="3" t="n">
        <v>35</v>
      </c>
      <c r="B36" s="3" t="s">
        <v>57</v>
      </c>
      <c r="C36" s="3" t="s">
        <v>152</v>
      </c>
      <c r="D36" s="3" t="s">
        <v>121</v>
      </c>
      <c r="E36" s="3" t="s">
        <v>153</v>
      </c>
      <c r="F36" s="3" t="s">
        <v>154</v>
      </c>
      <c r="G36" s="3" t="s">
        <v>62</v>
      </c>
      <c r="H36" s="3" t="s">
        <v>63</v>
      </c>
      <c r="I36" s="4" t="s">
        <v>64</v>
      </c>
      <c r="J36" s="5"/>
      <c r="K36" s="6" t="str">
        <f aca="false">IF(J36="","",WORKDAY(J36+4,1))</f>
        <v/>
      </c>
      <c r="L36" s="5"/>
      <c r="M36" s="4"/>
      <c r="N36" s="4"/>
      <c r="O36" s="4" t="s">
        <v>142</v>
      </c>
    </row>
    <row r="37" customFormat="false" ht="15" hidden="false" customHeight="true" outlineLevel="0" collapsed="false">
      <c r="A37" s="3" t="n">
        <v>36</v>
      </c>
      <c r="B37" s="3" t="s">
        <v>57</v>
      </c>
      <c r="C37" s="3" t="s">
        <v>155</v>
      </c>
      <c r="D37" s="3" t="s">
        <v>97</v>
      </c>
      <c r="E37" s="3" t="s">
        <v>156</v>
      </c>
      <c r="F37" s="3" t="s">
        <v>157</v>
      </c>
      <c r="G37" s="3" t="s">
        <v>62</v>
      </c>
      <c r="H37" s="3" t="s">
        <v>63</v>
      </c>
      <c r="I37" s="4" t="s">
        <v>64</v>
      </c>
      <c r="J37" s="5"/>
      <c r="K37" s="6" t="str">
        <f aca="false">IF(J37="","",WORKDAY(J37+4,1))</f>
        <v/>
      </c>
      <c r="L37" s="5"/>
      <c r="M37" s="4"/>
      <c r="N37" s="4"/>
      <c r="O37" s="4" t="s">
        <v>142</v>
      </c>
    </row>
    <row r="38" customFormat="false" ht="15" hidden="false" customHeight="true" outlineLevel="0" collapsed="false">
      <c r="A38" s="3" t="n">
        <v>37</v>
      </c>
      <c r="B38" s="3" t="s">
        <v>57</v>
      </c>
      <c r="C38" s="3" t="s">
        <v>158</v>
      </c>
      <c r="D38" s="3" t="s">
        <v>93</v>
      </c>
      <c r="E38" s="3" t="s">
        <v>159</v>
      </c>
      <c r="F38" s="3" t="s">
        <v>160</v>
      </c>
      <c r="G38" s="3" t="s">
        <v>62</v>
      </c>
      <c r="H38" s="3" t="s">
        <v>63</v>
      </c>
      <c r="I38" s="4" t="s">
        <v>64</v>
      </c>
      <c r="J38" s="5"/>
      <c r="K38" s="6" t="str">
        <f aca="false">IF(J38="","",WORKDAY(J38+4,1))</f>
        <v/>
      </c>
      <c r="L38" s="5"/>
      <c r="M38" s="4"/>
      <c r="N38" s="4"/>
      <c r="O38" s="4" t="s">
        <v>142</v>
      </c>
    </row>
    <row r="39" customFormat="false" ht="15" hidden="false" customHeight="true" outlineLevel="0" collapsed="false">
      <c r="A39" s="3" t="n">
        <v>38</v>
      </c>
      <c r="B39" s="3" t="s">
        <v>57</v>
      </c>
      <c r="C39" s="3" t="s">
        <v>161</v>
      </c>
      <c r="D39" s="3" t="s">
        <v>121</v>
      </c>
      <c r="E39" s="3" t="s">
        <v>162</v>
      </c>
      <c r="F39" s="3" t="s">
        <v>160</v>
      </c>
      <c r="G39" s="3" t="s">
        <v>62</v>
      </c>
      <c r="H39" s="3" t="s">
        <v>63</v>
      </c>
      <c r="I39" s="4" t="s">
        <v>64</v>
      </c>
      <c r="J39" s="5"/>
      <c r="K39" s="6" t="str">
        <f aca="false">IF(J39="","",WORKDAY(J39+4,1))</f>
        <v/>
      </c>
      <c r="L39" s="5"/>
      <c r="M39" s="4"/>
      <c r="N39" s="4"/>
      <c r="O39" s="4" t="s">
        <v>142</v>
      </c>
    </row>
    <row r="40" customFormat="false" ht="15" hidden="false" customHeight="true" outlineLevel="0" collapsed="false">
      <c r="A40" s="3" t="n">
        <v>39</v>
      </c>
      <c r="B40" s="3" t="s">
        <v>87</v>
      </c>
      <c r="C40" s="3" t="s">
        <v>163</v>
      </c>
      <c r="D40" s="3" t="s">
        <v>149</v>
      </c>
      <c r="E40" s="3" t="s">
        <v>164</v>
      </c>
      <c r="F40" s="3" t="s">
        <v>165</v>
      </c>
      <c r="G40" s="3" t="s">
        <v>90</v>
      </c>
      <c r="H40" s="3" t="s">
        <v>91</v>
      </c>
      <c r="I40" s="4" t="s">
        <v>64</v>
      </c>
      <c r="J40" s="5"/>
      <c r="K40" s="6" t="str">
        <f aca="false">IF(J40="","",WORKDAY(J40+4,1))</f>
        <v/>
      </c>
      <c r="L40" s="5"/>
      <c r="M40" s="4"/>
      <c r="N40" s="4"/>
      <c r="O40" s="4" t="s">
        <v>142</v>
      </c>
    </row>
    <row r="41" customFormat="false" ht="15" hidden="false" customHeight="true" outlineLevel="0" collapsed="false">
      <c r="A41" s="3" t="n">
        <v>40</v>
      </c>
      <c r="B41" s="3" t="s">
        <v>87</v>
      </c>
      <c r="C41" s="3" t="s">
        <v>166</v>
      </c>
      <c r="D41" s="3" t="s">
        <v>59</v>
      </c>
      <c r="E41" s="3" t="s">
        <v>167</v>
      </c>
      <c r="F41" s="3" t="s">
        <v>77</v>
      </c>
      <c r="G41" s="3" t="s">
        <v>90</v>
      </c>
      <c r="H41" s="3" t="s">
        <v>91</v>
      </c>
      <c r="I41" s="4" t="s">
        <v>64</v>
      </c>
      <c r="J41" s="5"/>
      <c r="K41" s="6" t="str">
        <f aca="false">IF(J41="","",WORKDAY(J41+4,1))</f>
        <v/>
      </c>
      <c r="L41" s="5"/>
      <c r="M41" s="4"/>
      <c r="N41" s="4"/>
      <c r="O41" s="4" t="s">
        <v>104</v>
      </c>
    </row>
    <row r="42" customFormat="false" ht="15" hidden="false" customHeight="true" outlineLevel="0" collapsed="false">
      <c r="A42" s="3" t="n">
        <v>41</v>
      </c>
      <c r="B42" s="3" t="s">
        <v>87</v>
      </c>
      <c r="C42" s="3" t="s">
        <v>168</v>
      </c>
      <c r="D42" s="3" t="s">
        <v>59</v>
      </c>
      <c r="E42" s="3" t="s">
        <v>169</v>
      </c>
      <c r="F42" s="3" t="s">
        <v>170</v>
      </c>
      <c r="G42" s="3" t="s">
        <v>90</v>
      </c>
      <c r="H42" s="3" t="s">
        <v>91</v>
      </c>
      <c r="I42" s="4" t="s">
        <v>64</v>
      </c>
      <c r="J42" s="5"/>
      <c r="K42" s="6" t="str">
        <f aca="false">IF(J42="","",WORKDAY(J42+4,1))</f>
        <v/>
      </c>
      <c r="L42" s="5"/>
      <c r="M42" s="4"/>
      <c r="N42" s="4"/>
      <c r="O42" s="4" t="s">
        <v>142</v>
      </c>
    </row>
    <row r="43" customFormat="false" ht="15" hidden="false" customHeight="true" outlineLevel="0" collapsed="false">
      <c r="A43" s="3" t="n">
        <v>42</v>
      </c>
      <c r="B43" s="3" t="s">
        <v>87</v>
      </c>
      <c r="C43" s="3" t="s">
        <v>171</v>
      </c>
      <c r="D43" s="3" t="s">
        <v>93</v>
      </c>
      <c r="E43" s="3" t="s">
        <v>172</v>
      </c>
      <c r="F43" s="3" t="s">
        <v>165</v>
      </c>
      <c r="G43" s="3" t="s">
        <v>90</v>
      </c>
      <c r="H43" s="3" t="s">
        <v>91</v>
      </c>
      <c r="I43" s="4" t="s">
        <v>64</v>
      </c>
      <c r="J43" s="5"/>
      <c r="K43" s="6" t="str">
        <f aca="false">IF(J43="","",WORKDAY(J43+4,1))</f>
        <v/>
      </c>
      <c r="L43" s="5"/>
      <c r="M43" s="4"/>
      <c r="N43" s="4"/>
      <c r="O43" s="4" t="s">
        <v>142</v>
      </c>
    </row>
    <row r="44" customFormat="false" ht="15" hidden="false" customHeight="true" outlineLevel="0" collapsed="false">
      <c r="A44" s="3" t="n">
        <v>43</v>
      </c>
      <c r="B44" s="3" t="s">
        <v>87</v>
      </c>
      <c r="C44" s="3" t="s">
        <v>173</v>
      </c>
      <c r="D44" s="3" t="s">
        <v>106</v>
      </c>
      <c r="E44" s="3" t="s">
        <v>174</v>
      </c>
      <c r="F44" s="3" t="s">
        <v>175</v>
      </c>
      <c r="G44" s="3" t="s">
        <v>90</v>
      </c>
      <c r="H44" s="3" t="s">
        <v>91</v>
      </c>
      <c r="I44" s="4" t="s">
        <v>64</v>
      </c>
      <c r="J44" s="5"/>
      <c r="K44" s="6" t="str">
        <f aca="false">IF(J44="","",WORKDAY(J44+4,1))</f>
        <v/>
      </c>
      <c r="L44" s="5"/>
      <c r="M44" s="4"/>
      <c r="N44" s="4"/>
      <c r="O44" s="4" t="s">
        <v>142</v>
      </c>
    </row>
    <row r="45" customFormat="false" ht="15" hidden="false" customHeight="true" outlineLevel="0" collapsed="false">
      <c r="A45" s="3" t="n">
        <v>44</v>
      </c>
      <c r="B45" s="3" t="s">
        <v>87</v>
      </c>
      <c r="C45" s="3" t="s">
        <v>176</v>
      </c>
      <c r="D45" s="3" t="s">
        <v>121</v>
      </c>
      <c r="E45" s="3" t="s">
        <v>177</v>
      </c>
      <c r="F45" s="3" t="s">
        <v>165</v>
      </c>
      <c r="G45" s="3" t="s">
        <v>90</v>
      </c>
      <c r="H45" s="3" t="s">
        <v>91</v>
      </c>
      <c r="I45" s="4" t="s">
        <v>64</v>
      </c>
      <c r="J45" s="5"/>
      <c r="K45" s="6" t="str">
        <f aca="false">IF(J45="","",WORKDAY(J45+4,1))</f>
        <v/>
      </c>
      <c r="L45" s="5"/>
      <c r="M45" s="4"/>
      <c r="N45" s="4"/>
      <c r="O45" s="4" t="s">
        <v>142</v>
      </c>
    </row>
    <row r="46" customFormat="false" ht="15" hidden="false" customHeight="true" outlineLevel="0" collapsed="false">
      <c r="A46" s="3" t="n">
        <v>45</v>
      </c>
      <c r="B46" s="3" t="s">
        <v>87</v>
      </c>
      <c r="C46" s="3" t="s">
        <v>178</v>
      </c>
      <c r="D46" s="3" t="s">
        <v>84</v>
      </c>
      <c r="E46" s="3" t="s">
        <v>179</v>
      </c>
      <c r="F46" s="3" t="s">
        <v>165</v>
      </c>
      <c r="G46" s="3" t="s">
        <v>90</v>
      </c>
      <c r="H46" s="3" t="s">
        <v>91</v>
      </c>
      <c r="I46" s="4" t="s">
        <v>64</v>
      </c>
      <c r="J46" s="5"/>
      <c r="K46" s="6" t="str">
        <f aca="false">IF(J46="","",WORKDAY(J46+4,1))</f>
        <v/>
      </c>
      <c r="L46" s="5"/>
      <c r="M46" s="4"/>
      <c r="N46" s="4"/>
      <c r="O46" s="4" t="s">
        <v>180</v>
      </c>
    </row>
    <row r="47" customFormat="false" ht="15" hidden="false" customHeight="true" outlineLevel="0" collapsed="false">
      <c r="A47" s="3" t="n">
        <v>46</v>
      </c>
      <c r="B47" s="3" t="s">
        <v>87</v>
      </c>
      <c r="C47" s="3" t="s">
        <v>181</v>
      </c>
      <c r="D47" s="3" t="s">
        <v>149</v>
      </c>
      <c r="E47" s="3" t="s">
        <v>182</v>
      </c>
      <c r="F47" s="3" t="s">
        <v>165</v>
      </c>
      <c r="G47" s="3" t="s">
        <v>90</v>
      </c>
      <c r="H47" s="3" t="s">
        <v>91</v>
      </c>
      <c r="I47" s="4" t="s">
        <v>64</v>
      </c>
      <c r="J47" s="5"/>
      <c r="K47" s="6" t="str">
        <f aca="false">IF(J47="","",WORKDAY(J47+4,1))</f>
        <v/>
      </c>
      <c r="L47" s="5"/>
      <c r="M47" s="4"/>
      <c r="N47" s="4"/>
      <c r="O47" s="4" t="s">
        <v>180</v>
      </c>
    </row>
    <row r="48" customFormat="false" ht="15" hidden="false" customHeight="true" outlineLevel="0" collapsed="false">
      <c r="A48" s="3" t="n">
        <v>47</v>
      </c>
      <c r="B48" s="3" t="s">
        <v>87</v>
      </c>
      <c r="C48" s="3" t="s">
        <v>183</v>
      </c>
      <c r="D48" s="3" t="s">
        <v>81</v>
      </c>
      <c r="E48" s="3" t="s">
        <v>184</v>
      </c>
      <c r="F48" s="3" t="s">
        <v>185</v>
      </c>
      <c r="G48" s="3" t="s">
        <v>90</v>
      </c>
      <c r="H48" s="3" t="s">
        <v>91</v>
      </c>
      <c r="I48" s="4" t="s">
        <v>64</v>
      </c>
      <c r="J48" s="5"/>
      <c r="K48" s="6" t="str">
        <f aca="false">IF(J48="","",WORKDAY(J48+4,1))</f>
        <v/>
      </c>
      <c r="L48" s="5"/>
      <c r="M48" s="4"/>
      <c r="N48" s="4"/>
      <c r="O48" s="4" t="s">
        <v>180</v>
      </c>
    </row>
    <row r="49" customFormat="false" ht="15" hidden="false" customHeight="true" outlineLevel="0" collapsed="false">
      <c r="A49" s="3" t="n">
        <v>48</v>
      </c>
      <c r="B49" s="3" t="s">
        <v>186</v>
      </c>
      <c r="C49" s="3" t="s">
        <v>187</v>
      </c>
      <c r="D49" s="3" t="s">
        <v>84</v>
      </c>
      <c r="E49" s="3" t="s">
        <v>188</v>
      </c>
      <c r="F49" s="3" t="s">
        <v>189</v>
      </c>
      <c r="G49" s="3" t="s">
        <v>127</v>
      </c>
      <c r="H49" s="3" t="s">
        <v>190</v>
      </c>
      <c r="I49" s="4" t="s">
        <v>64</v>
      </c>
      <c r="J49" s="5"/>
      <c r="K49" s="6" t="str">
        <f aca="false">IF(J49="","",WORKDAY(J49+4,1))</f>
        <v/>
      </c>
      <c r="L49" s="5"/>
      <c r="M49" s="4"/>
      <c r="N49" s="4"/>
      <c r="O49" s="4" t="s">
        <v>104</v>
      </c>
    </row>
    <row r="50" customFormat="false" ht="15" hidden="false" customHeight="true" outlineLevel="0" collapsed="false">
      <c r="A50" s="3" t="n">
        <v>49</v>
      </c>
      <c r="B50" s="3" t="s">
        <v>186</v>
      </c>
      <c r="C50" s="3" t="s">
        <v>191</v>
      </c>
      <c r="D50" s="3" t="s">
        <v>75</v>
      </c>
      <c r="E50" s="3" t="s">
        <v>192</v>
      </c>
      <c r="F50" s="3" t="s">
        <v>193</v>
      </c>
      <c r="G50" s="3" t="s">
        <v>127</v>
      </c>
      <c r="H50" s="3" t="s">
        <v>190</v>
      </c>
      <c r="I50" s="4" t="s">
        <v>64</v>
      </c>
      <c r="J50" s="5"/>
      <c r="K50" s="6" t="str">
        <f aca="false">IF(J50="","",WORKDAY(J50+4,1))</f>
        <v/>
      </c>
      <c r="L50" s="5"/>
      <c r="M50" s="4"/>
      <c r="N50" s="4"/>
      <c r="O50" s="4" t="s">
        <v>180</v>
      </c>
    </row>
    <row r="51" customFormat="false" ht="15" hidden="false" customHeight="true" outlineLevel="0" collapsed="false">
      <c r="A51" s="3" t="n">
        <v>50</v>
      </c>
      <c r="B51" s="3" t="s">
        <v>186</v>
      </c>
      <c r="C51" s="3" t="s">
        <v>194</v>
      </c>
      <c r="D51" s="3" t="s">
        <v>93</v>
      </c>
      <c r="E51" s="3" t="s">
        <v>195</v>
      </c>
      <c r="F51" s="3" t="s">
        <v>189</v>
      </c>
      <c r="G51" s="3" t="s">
        <v>127</v>
      </c>
      <c r="H51" s="3" t="s">
        <v>190</v>
      </c>
      <c r="I51" s="4" t="s">
        <v>64</v>
      </c>
      <c r="J51" s="5"/>
      <c r="K51" s="6" t="str">
        <f aca="false">IF(J51="","",WORKDAY(J51+4,1))</f>
        <v/>
      </c>
      <c r="L51" s="5"/>
      <c r="M51" s="4"/>
      <c r="N51" s="4"/>
      <c r="O51" s="4" t="s">
        <v>104</v>
      </c>
    </row>
    <row r="52" customFormat="false" ht="15" hidden="false" customHeight="true" outlineLevel="0" collapsed="false">
      <c r="A52" s="3" t="n">
        <v>51</v>
      </c>
      <c r="B52" s="3" t="s">
        <v>186</v>
      </c>
      <c r="C52" s="3" t="s">
        <v>196</v>
      </c>
      <c r="D52" s="3" t="s">
        <v>75</v>
      </c>
      <c r="E52" s="3" t="s">
        <v>197</v>
      </c>
      <c r="F52" s="3" t="s">
        <v>189</v>
      </c>
      <c r="G52" s="3" t="s">
        <v>127</v>
      </c>
      <c r="H52" s="3" t="s">
        <v>190</v>
      </c>
      <c r="I52" s="4" t="s">
        <v>64</v>
      </c>
      <c r="J52" s="5"/>
      <c r="K52" s="6" t="str">
        <f aca="false">IF(J52="","",WORKDAY(J52+4,1))</f>
        <v/>
      </c>
      <c r="L52" s="5"/>
      <c r="M52" s="4"/>
      <c r="N52" s="4"/>
      <c r="O52" s="4" t="s">
        <v>104</v>
      </c>
    </row>
    <row r="53" customFormat="false" ht="15" hidden="false" customHeight="true" outlineLevel="0" collapsed="false">
      <c r="A53" s="3" t="n">
        <v>52</v>
      </c>
      <c r="B53" s="3" t="s">
        <v>186</v>
      </c>
      <c r="C53" s="3" t="s">
        <v>198</v>
      </c>
      <c r="D53" s="3" t="s">
        <v>93</v>
      </c>
      <c r="E53" s="3" t="s">
        <v>199</v>
      </c>
      <c r="F53" s="3" t="s">
        <v>189</v>
      </c>
      <c r="G53" s="3" t="s">
        <v>127</v>
      </c>
      <c r="H53" s="3" t="s">
        <v>190</v>
      </c>
      <c r="I53" s="4" t="s">
        <v>64</v>
      </c>
      <c r="J53" s="5"/>
      <c r="K53" s="6" t="str">
        <f aca="false">IF(J53="","",WORKDAY(J53+4,1))</f>
        <v/>
      </c>
      <c r="L53" s="5"/>
      <c r="M53" s="4"/>
      <c r="N53" s="4"/>
      <c r="O53" s="4" t="s">
        <v>104</v>
      </c>
    </row>
    <row r="54" customFormat="false" ht="15" hidden="false" customHeight="true" outlineLevel="0" collapsed="false">
      <c r="A54" s="3" t="n">
        <v>53</v>
      </c>
      <c r="B54" s="3" t="s">
        <v>186</v>
      </c>
      <c r="C54" s="3" t="s">
        <v>200</v>
      </c>
      <c r="D54" s="3" t="s">
        <v>121</v>
      </c>
      <c r="E54" s="3" t="s">
        <v>201</v>
      </c>
      <c r="F54" s="3" t="s">
        <v>189</v>
      </c>
      <c r="G54" s="3" t="s">
        <v>127</v>
      </c>
      <c r="H54" s="3" t="s">
        <v>190</v>
      </c>
      <c r="I54" s="4" t="s">
        <v>64</v>
      </c>
      <c r="J54" s="5"/>
      <c r="K54" s="6" t="str">
        <f aca="false">IF(J54="","",WORKDAY(J54+4,1))</f>
        <v/>
      </c>
      <c r="L54" s="5"/>
      <c r="M54" s="4"/>
      <c r="N54" s="4"/>
      <c r="O54" s="4" t="s">
        <v>104</v>
      </c>
    </row>
    <row r="55" customFormat="false" ht="15" hidden="false" customHeight="true" outlineLevel="0" collapsed="false">
      <c r="A55" s="3" t="n">
        <v>54</v>
      </c>
      <c r="B55" s="3" t="s">
        <v>186</v>
      </c>
      <c r="C55" s="3" t="s">
        <v>202</v>
      </c>
      <c r="D55" s="3" t="s">
        <v>75</v>
      </c>
      <c r="E55" s="3" t="s">
        <v>203</v>
      </c>
      <c r="F55" s="3" t="s">
        <v>204</v>
      </c>
      <c r="G55" s="3" t="s">
        <v>127</v>
      </c>
      <c r="H55" s="3" t="s">
        <v>190</v>
      </c>
      <c r="I55" s="4" t="s">
        <v>64</v>
      </c>
      <c r="J55" s="5"/>
      <c r="K55" s="6" t="str">
        <f aca="false">IF(J55="","",WORKDAY(J55+4,1))</f>
        <v/>
      </c>
      <c r="L55" s="5"/>
      <c r="M55" s="4"/>
      <c r="N55" s="4"/>
      <c r="O55" s="4" t="s">
        <v>104</v>
      </c>
    </row>
    <row r="56" customFormat="false" ht="15" hidden="false" customHeight="true" outlineLevel="0" collapsed="false">
      <c r="A56" s="3" t="n">
        <v>55</v>
      </c>
      <c r="B56" s="3" t="s">
        <v>186</v>
      </c>
      <c r="C56" s="3" t="s">
        <v>205</v>
      </c>
      <c r="D56" s="3" t="s">
        <v>121</v>
      </c>
      <c r="E56" s="3" t="s">
        <v>206</v>
      </c>
      <c r="F56" s="3" t="s">
        <v>207</v>
      </c>
      <c r="G56" s="3" t="s">
        <v>127</v>
      </c>
      <c r="H56" s="3" t="s">
        <v>190</v>
      </c>
      <c r="I56" s="4" t="s">
        <v>64</v>
      </c>
      <c r="J56" s="5"/>
      <c r="K56" s="6" t="str">
        <f aca="false">IF(J56="","",WORKDAY(J56+4,1))</f>
        <v/>
      </c>
      <c r="L56" s="5"/>
      <c r="M56" s="4"/>
      <c r="N56" s="4"/>
      <c r="O56" s="4" t="s">
        <v>180</v>
      </c>
    </row>
    <row r="57" customFormat="false" ht="15" hidden="false" customHeight="true" outlineLevel="0" collapsed="false">
      <c r="A57" s="3" t="n">
        <v>56</v>
      </c>
      <c r="B57" s="3" t="s">
        <v>186</v>
      </c>
      <c r="C57" s="3" t="s">
        <v>208</v>
      </c>
      <c r="D57" s="3" t="s">
        <v>121</v>
      </c>
      <c r="E57" s="3" t="s">
        <v>209</v>
      </c>
      <c r="F57" s="3" t="s">
        <v>210</v>
      </c>
      <c r="G57" s="3" t="s">
        <v>127</v>
      </c>
      <c r="H57" s="3" t="s">
        <v>190</v>
      </c>
      <c r="I57" s="4" t="s">
        <v>64</v>
      </c>
      <c r="J57" s="5"/>
      <c r="K57" s="6" t="str">
        <f aca="false">IF(J57="","",WORKDAY(J57+4,1))</f>
        <v/>
      </c>
      <c r="L57" s="5"/>
      <c r="M57" s="4"/>
      <c r="N57" s="4"/>
      <c r="O57" s="4" t="s">
        <v>180</v>
      </c>
    </row>
    <row r="58" customFormat="false" ht="15" hidden="false" customHeight="true" outlineLevel="0" collapsed="false">
      <c r="A58" s="3" t="n">
        <v>57</v>
      </c>
      <c r="B58" s="3" t="s">
        <v>186</v>
      </c>
      <c r="C58" s="3" t="s">
        <v>211</v>
      </c>
      <c r="D58" s="3" t="s">
        <v>93</v>
      </c>
      <c r="E58" s="3" t="s">
        <v>212</v>
      </c>
      <c r="F58" s="3" t="s">
        <v>213</v>
      </c>
      <c r="G58" s="3" t="s">
        <v>127</v>
      </c>
      <c r="H58" s="3" t="s">
        <v>190</v>
      </c>
      <c r="I58" s="4" t="s">
        <v>64</v>
      </c>
      <c r="J58" s="5"/>
      <c r="K58" s="6" t="str">
        <f aca="false">IF(J58="","",WORKDAY(J58+4,1))</f>
        <v/>
      </c>
      <c r="L58" s="5"/>
      <c r="M58" s="4"/>
      <c r="N58" s="4"/>
      <c r="O58" s="4" t="s">
        <v>214</v>
      </c>
    </row>
    <row r="59" customFormat="false" ht="15" hidden="false" customHeight="true" outlineLevel="0" collapsed="false">
      <c r="A59" s="3" t="n">
        <v>58</v>
      </c>
      <c r="B59" s="3" t="s">
        <v>215</v>
      </c>
      <c r="C59" s="3" t="s">
        <v>216</v>
      </c>
      <c r="D59" s="3" t="s">
        <v>17</v>
      </c>
      <c r="E59" s="3" t="s">
        <v>217</v>
      </c>
      <c r="F59" s="3" t="s">
        <v>218</v>
      </c>
      <c r="G59" s="3" t="s">
        <v>127</v>
      </c>
      <c r="H59" s="3" t="s">
        <v>219</v>
      </c>
      <c r="I59" s="4" t="s">
        <v>64</v>
      </c>
      <c r="J59" s="5"/>
      <c r="K59" s="6" t="str">
        <f aca="false">IF(J59="","",WORKDAY(J59+4,1))</f>
        <v/>
      </c>
      <c r="L59" s="5"/>
      <c r="M59" s="4"/>
      <c r="N59" s="4"/>
      <c r="O59" s="4" t="s">
        <v>180</v>
      </c>
    </row>
    <row r="60" customFormat="false" ht="15" hidden="false" customHeight="true" outlineLevel="0" collapsed="false">
      <c r="A60" s="3" t="n">
        <v>59</v>
      </c>
      <c r="B60" s="3" t="s">
        <v>215</v>
      </c>
      <c r="C60" s="3" t="s">
        <v>220</v>
      </c>
      <c r="D60" s="3" t="s">
        <v>106</v>
      </c>
      <c r="E60" s="3" t="s">
        <v>221</v>
      </c>
      <c r="F60" s="3" t="s">
        <v>222</v>
      </c>
      <c r="G60" s="3" t="s">
        <v>127</v>
      </c>
      <c r="H60" s="3" t="s">
        <v>219</v>
      </c>
      <c r="I60" s="4" t="s">
        <v>64</v>
      </c>
      <c r="J60" s="5"/>
      <c r="K60" s="6" t="str">
        <f aca="false">IF(J60="","",WORKDAY(J60+4,1))</f>
        <v/>
      </c>
      <c r="L60" s="5"/>
      <c r="M60" s="4"/>
      <c r="N60" s="4"/>
      <c r="O60" s="4" t="s">
        <v>180</v>
      </c>
    </row>
    <row r="61" customFormat="false" ht="15" hidden="false" customHeight="true" outlineLevel="0" collapsed="false">
      <c r="A61" s="3" t="n">
        <v>60</v>
      </c>
      <c r="B61" s="3" t="s">
        <v>215</v>
      </c>
      <c r="C61" s="3" t="s">
        <v>223</v>
      </c>
      <c r="D61" s="3" t="s">
        <v>59</v>
      </c>
      <c r="E61" s="3" t="s">
        <v>224</v>
      </c>
      <c r="F61" s="3" t="s">
        <v>222</v>
      </c>
      <c r="G61" s="3" t="s">
        <v>127</v>
      </c>
      <c r="H61" s="3" t="s">
        <v>219</v>
      </c>
      <c r="I61" s="4" t="s">
        <v>64</v>
      </c>
      <c r="J61" s="5"/>
      <c r="K61" s="6" t="str">
        <f aca="false">IF(J61="","",WORKDAY(J61+4,1))</f>
        <v/>
      </c>
      <c r="L61" s="5"/>
      <c r="M61" s="4"/>
      <c r="N61" s="4"/>
      <c r="O61" s="4" t="s">
        <v>180</v>
      </c>
    </row>
    <row r="62" customFormat="false" ht="15" hidden="false" customHeight="true" outlineLevel="0" collapsed="false">
      <c r="A62" s="3" t="n">
        <v>61</v>
      </c>
      <c r="B62" s="3" t="s">
        <v>215</v>
      </c>
      <c r="C62" s="3" t="s">
        <v>225</v>
      </c>
      <c r="D62" s="3" t="s">
        <v>81</v>
      </c>
      <c r="E62" s="3" t="s">
        <v>226</v>
      </c>
      <c r="F62" s="3" t="s">
        <v>222</v>
      </c>
      <c r="G62" s="3" t="s">
        <v>127</v>
      </c>
      <c r="H62" s="3" t="s">
        <v>219</v>
      </c>
      <c r="I62" s="4" t="s">
        <v>64</v>
      </c>
      <c r="J62" s="5"/>
      <c r="K62" s="6" t="str">
        <f aca="false">IF(J62="","",WORKDAY(J62+4,1))</f>
        <v/>
      </c>
      <c r="L62" s="5"/>
      <c r="M62" s="4"/>
      <c r="N62" s="4"/>
      <c r="O62" s="4" t="s">
        <v>180</v>
      </c>
    </row>
    <row r="63" customFormat="false" ht="15" hidden="false" customHeight="true" outlineLevel="0" collapsed="false">
      <c r="A63" s="3" t="n">
        <v>62</v>
      </c>
      <c r="B63" s="3" t="s">
        <v>215</v>
      </c>
      <c r="C63" s="3" t="s">
        <v>227</v>
      </c>
      <c r="D63" s="3" t="s">
        <v>59</v>
      </c>
      <c r="E63" s="3" t="s">
        <v>228</v>
      </c>
      <c r="F63" s="3" t="s">
        <v>222</v>
      </c>
      <c r="G63" s="3" t="s">
        <v>127</v>
      </c>
      <c r="H63" s="3" t="s">
        <v>219</v>
      </c>
      <c r="I63" s="4" t="s">
        <v>64</v>
      </c>
      <c r="J63" s="5"/>
      <c r="K63" s="6" t="str">
        <f aca="false">IF(J63="","",WORKDAY(J63+4,1))</f>
        <v/>
      </c>
      <c r="L63" s="5"/>
      <c r="M63" s="4"/>
      <c r="N63" s="4"/>
      <c r="O63" s="4" t="s">
        <v>180</v>
      </c>
    </row>
    <row r="64" customFormat="false" ht="15" hidden="false" customHeight="true" outlineLevel="0" collapsed="false">
      <c r="A64" s="3" t="n">
        <v>63</v>
      </c>
      <c r="B64" s="3" t="s">
        <v>215</v>
      </c>
      <c r="C64" s="3" t="s">
        <v>229</v>
      </c>
      <c r="D64" s="3" t="s">
        <v>121</v>
      </c>
      <c r="E64" s="3" t="s">
        <v>230</v>
      </c>
      <c r="F64" s="3" t="s">
        <v>222</v>
      </c>
      <c r="G64" s="3" t="s">
        <v>127</v>
      </c>
      <c r="H64" s="3" t="s">
        <v>219</v>
      </c>
      <c r="I64" s="4" t="s">
        <v>64</v>
      </c>
      <c r="J64" s="5"/>
      <c r="K64" s="6" t="str">
        <f aca="false">IF(J64="","",WORKDAY(J64+4,1))</f>
        <v/>
      </c>
      <c r="L64" s="5"/>
      <c r="M64" s="4"/>
      <c r="N64" s="4"/>
      <c r="O64" s="4" t="s">
        <v>180</v>
      </c>
    </row>
    <row r="65" customFormat="false" ht="15" hidden="false" customHeight="true" outlineLevel="0" collapsed="false">
      <c r="A65" s="3" t="n">
        <v>64</v>
      </c>
      <c r="B65" s="3" t="s">
        <v>215</v>
      </c>
      <c r="C65" s="3" t="s">
        <v>231</v>
      </c>
      <c r="D65" s="3" t="s">
        <v>93</v>
      </c>
      <c r="E65" s="3" t="s">
        <v>232</v>
      </c>
      <c r="F65" s="3" t="s">
        <v>222</v>
      </c>
      <c r="G65" s="3" t="s">
        <v>127</v>
      </c>
      <c r="H65" s="3" t="s">
        <v>219</v>
      </c>
      <c r="I65" s="4" t="s">
        <v>64</v>
      </c>
      <c r="J65" s="5"/>
      <c r="K65" s="6" t="str">
        <f aca="false">IF(J65="","",WORKDAY(J65+4,1))</f>
        <v/>
      </c>
      <c r="L65" s="5"/>
      <c r="M65" s="4"/>
      <c r="N65" s="4"/>
      <c r="O65" s="4" t="s">
        <v>180</v>
      </c>
    </row>
    <row r="66" customFormat="false" ht="15" hidden="false" customHeight="true" outlineLevel="0" collapsed="false">
      <c r="A66" s="3" t="n">
        <v>65</v>
      </c>
      <c r="B66" s="3" t="s">
        <v>215</v>
      </c>
      <c r="C66" s="3" t="s">
        <v>233</v>
      </c>
      <c r="D66" s="3" t="s">
        <v>84</v>
      </c>
      <c r="E66" s="3" t="s">
        <v>234</v>
      </c>
      <c r="F66" s="3" t="s">
        <v>235</v>
      </c>
      <c r="G66" s="3" t="s">
        <v>127</v>
      </c>
      <c r="H66" s="3" t="s">
        <v>219</v>
      </c>
      <c r="I66" s="4" t="s">
        <v>64</v>
      </c>
      <c r="J66" s="5"/>
      <c r="K66" s="6" t="str">
        <f aca="false">IF(J66="","",WORKDAY(J66+4,1))</f>
        <v/>
      </c>
      <c r="L66" s="5"/>
      <c r="M66" s="4"/>
      <c r="N66" s="4"/>
      <c r="O66" s="4" t="s">
        <v>214</v>
      </c>
    </row>
    <row r="67" customFormat="false" ht="15" hidden="false" customHeight="true" outlineLevel="0" collapsed="false">
      <c r="A67" s="3" t="n">
        <v>66</v>
      </c>
      <c r="B67" s="3" t="s">
        <v>236</v>
      </c>
      <c r="C67" s="3" t="s">
        <v>237</v>
      </c>
      <c r="D67" s="3" t="s">
        <v>17</v>
      </c>
      <c r="E67" s="3" t="s">
        <v>238</v>
      </c>
      <c r="F67" s="3" t="s">
        <v>239</v>
      </c>
      <c r="G67" s="3" t="s">
        <v>240</v>
      </c>
      <c r="H67" s="3" t="s">
        <v>241</v>
      </c>
      <c r="I67" s="4" t="s">
        <v>64</v>
      </c>
      <c r="J67" s="5"/>
      <c r="K67" s="6" t="str">
        <f aca="false">IF(J67="","",WORKDAY(J67+4,1))</f>
        <v/>
      </c>
      <c r="L67" s="5"/>
      <c r="M67" s="4"/>
      <c r="N67" s="4"/>
      <c r="O67" s="4" t="s">
        <v>242</v>
      </c>
    </row>
    <row r="68" customFormat="false" ht="15" hidden="false" customHeight="true" outlineLevel="0" collapsed="false">
      <c r="A68" s="3" t="n">
        <v>67</v>
      </c>
      <c r="B68" s="3" t="s">
        <v>236</v>
      </c>
      <c r="C68" s="3" t="s">
        <v>243</v>
      </c>
      <c r="D68" s="3" t="s">
        <v>17</v>
      </c>
      <c r="E68" s="3" t="s">
        <v>244</v>
      </c>
      <c r="F68" s="3" t="s">
        <v>245</v>
      </c>
      <c r="G68" s="3" t="s">
        <v>240</v>
      </c>
      <c r="H68" s="3" t="s">
        <v>246</v>
      </c>
      <c r="I68" s="4" t="s">
        <v>64</v>
      </c>
      <c r="J68" s="5"/>
      <c r="K68" s="6" t="str">
        <f aca="false">IF(J68="","",WORKDAY(J68+4,1))</f>
        <v/>
      </c>
      <c r="L68" s="5"/>
      <c r="M68" s="4"/>
      <c r="N68" s="4"/>
      <c r="O68" s="4" t="s">
        <v>214</v>
      </c>
    </row>
    <row r="69" customFormat="false" ht="15" hidden="false" customHeight="true" outlineLevel="0" collapsed="false">
      <c r="A69" s="3" t="n">
        <v>68</v>
      </c>
      <c r="B69" s="3" t="s">
        <v>236</v>
      </c>
      <c r="C69" s="3" t="s">
        <v>247</v>
      </c>
      <c r="D69" s="3" t="s">
        <v>67</v>
      </c>
      <c r="E69" s="3" t="s">
        <v>248</v>
      </c>
      <c r="F69" s="3" t="s">
        <v>249</v>
      </c>
      <c r="G69" s="3" t="s">
        <v>240</v>
      </c>
      <c r="H69" s="3" t="s">
        <v>246</v>
      </c>
      <c r="I69" s="4" t="s">
        <v>64</v>
      </c>
      <c r="J69" s="5"/>
      <c r="K69" s="6" t="str">
        <f aca="false">IF(J69="","",WORKDAY(J69+4,1))</f>
        <v/>
      </c>
      <c r="L69" s="5"/>
      <c r="M69" s="4"/>
      <c r="N69" s="4"/>
      <c r="O69" s="4" t="s">
        <v>214</v>
      </c>
    </row>
    <row r="70" customFormat="false" ht="15" hidden="false" customHeight="true" outlineLevel="0" collapsed="false">
      <c r="A70" s="3" t="n">
        <v>69</v>
      </c>
      <c r="B70" s="3" t="s">
        <v>236</v>
      </c>
      <c r="C70" s="3" t="s">
        <v>250</v>
      </c>
      <c r="D70" s="3" t="s">
        <v>17</v>
      </c>
      <c r="E70" s="3" t="s">
        <v>251</v>
      </c>
      <c r="F70" s="3" t="s">
        <v>252</v>
      </c>
      <c r="G70" s="3" t="s">
        <v>240</v>
      </c>
      <c r="H70" s="3" t="s">
        <v>246</v>
      </c>
      <c r="I70" s="4" t="s">
        <v>64</v>
      </c>
      <c r="J70" s="5"/>
      <c r="K70" s="6" t="str">
        <f aca="false">IF(J70="","",WORKDAY(J70+4,1))</f>
        <v/>
      </c>
      <c r="L70" s="5"/>
      <c r="M70" s="4"/>
      <c r="N70" s="4"/>
      <c r="O70" s="4" t="s">
        <v>214</v>
      </c>
    </row>
    <row r="71" customFormat="false" ht="15" hidden="false" customHeight="true" outlineLevel="0" collapsed="false">
      <c r="A71" s="3" t="n">
        <v>70</v>
      </c>
      <c r="B71" s="3" t="s">
        <v>236</v>
      </c>
      <c r="C71" s="3" t="s">
        <v>253</v>
      </c>
      <c r="D71" s="3" t="s">
        <v>81</v>
      </c>
      <c r="E71" s="3" t="s">
        <v>254</v>
      </c>
      <c r="F71" s="3" t="s">
        <v>255</v>
      </c>
      <c r="G71" s="3" t="s">
        <v>256</v>
      </c>
      <c r="H71" s="3" t="s">
        <v>257</v>
      </c>
      <c r="I71" s="4" t="s">
        <v>64</v>
      </c>
      <c r="J71" s="5"/>
      <c r="K71" s="6" t="str">
        <f aca="false">IF(J71="","",WORKDAY(J71+4,1))</f>
        <v/>
      </c>
      <c r="L71" s="5"/>
      <c r="M71" s="4"/>
      <c r="N71" s="4"/>
      <c r="O71" s="4" t="s">
        <v>242</v>
      </c>
    </row>
    <row r="72" customFormat="false" ht="15" hidden="false" customHeight="true" outlineLevel="0" collapsed="false">
      <c r="A72" s="3" t="n">
        <v>71</v>
      </c>
      <c r="B72" s="3" t="s">
        <v>236</v>
      </c>
      <c r="C72" s="3" t="s">
        <v>258</v>
      </c>
      <c r="D72" s="3" t="s">
        <v>93</v>
      </c>
      <c r="E72" s="3" t="s">
        <v>259</v>
      </c>
      <c r="F72" s="3" t="s">
        <v>260</v>
      </c>
      <c r="G72" s="3" t="s">
        <v>240</v>
      </c>
      <c r="H72" s="3" t="s">
        <v>246</v>
      </c>
      <c r="I72" s="4" t="s">
        <v>64</v>
      </c>
      <c r="J72" s="5"/>
      <c r="K72" s="6" t="str">
        <f aca="false">IF(J72="","",WORKDAY(J72+4,1))</f>
        <v/>
      </c>
      <c r="L72" s="5"/>
      <c r="M72" s="4"/>
      <c r="N72" s="4"/>
      <c r="O72" s="4" t="s">
        <v>214</v>
      </c>
    </row>
    <row r="73" customFormat="false" ht="15" hidden="false" customHeight="true" outlineLevel="0" collapsed="false">
      <c r="A73" s="3" t="n">
        <v>72</v>
      </c>
      <c r="B73" s="3" t="s">
        <v>236</v>
      </c>
      <c r="C73" s="3" t="s">
        <v>261</v>
      </c>
      <c r="D73" s="3" t="s">
        <v>71</v>
      </c>
      <c r="E73" s="3" t="s">
        <v>262</v>
      </c>
      <c r="F73" s="3" t="s">
        <v>263</v>
      </c>
      <c r="G73" s="3" t="s">
        <v>240</v>
      </c>
      <c r="H73" s="3" t="s">
        <v>246</v>
      </c>
      <c r="I73" s="4" t="s">
        <v>64</v>
      </c>
      <c r="J73" s="5"/>
      <c r="K73" s="6" t="str">
        <f aca="false">IF(J73="","",WORKDAY(J73+4,1))</f>
        <v/>
      </c>
      <c r="L73" s="5"/>
      <c r="M73" s="4"/>
      <c r="N73" s="4"/>
      <c r="O73" s="4" t="s">
        <v>242</v>
      </c>
    </row>
    <row r="74" customFormat="false" ht="15" hidden="false" customHeight="true" outlineLevel="0" collapsed="false">
      <c r="A74" s="3" t="n">
        <v>73</v>
      </c>
      <c r="B74" s="3" t="s">
        <v>236</v>
      </c>
      <c r="C74" s="3" t="s">
        <v>264</v>
      </c>
      <c r="D74" s="3" t="s">
        <v>59</v>
      </c>
      <c r="E74" s="3" t="s">
        <v>265</v>
      </c>
      <c r="F74" s="3" t="s">
        <v>266</v>
      </c>
      <c r="G74" s="3" t="s">
        <v>240</v>
      </c>
      <c r="H74" s="3" t="s">
        <v>246</v>
      </c>
      <c r="I74" s="4" t="s">
        <v>64</v>
      </c>
      <c r="J74" s="5"/>
      <c r="K74" s="6" t="str">
        <f aca="false">IF(J74="","",WORKDAY(J74+4,1))</f>
        <v/>
      </c>
      <c r="L74" s="5"/>
      <c r="M74" s="4"/>
      <c r="N74" s="4"/>
      <c r="O74" s="4" t="s">
        <v>242</v>
      </c>
    </row>
    <row r="75" customFormat="false" ht="15" hidden="false" customHeight="true" outlineLevel="0" collapsed="false">
      <c r="A75" s="3" t="n">
        <v>74</v>
      </c>
      <c r="B75" s="3" t="s">
        <v>236</v>
      </c>
      <c r="C75" s="3" t="s">
        <v>267</v>
      </c>
      <c r="D75" s="3" t="s">
        <v>97</v>
      </c>
      <c r="E75" s="3" t="s">
        <v>268</v>
      </c>
      <c r="F75" s="3" t="s">
        <v>269</v>
      </c>
      <c r="G75" s="3" t="s">
        <v>256</v>
      </c>
      <c r="H75" s="3" t="s">
        <v>270</v>
      </c>
      <c r="I75" s="4" t="s">
        <v>64</v>
      </c>
      <c r="J75" s="5"/>
      <c r="K75" s="6" t="str">
        <f aca="false">IF(J75="","",WORKDAY(J75+4,1))</f>
        <v/>
      </c>
      <c r="L75" s="5"/>
      <c r="M75" s="4"/>
      <c r="N75" s="4"/>
      <c r="O75" s="4" t="s">
        <v>242</v>
      </c>
    </row>
    <row r="76" customFormat="false" ht="15" hidden="false" customHeight="true" outlineLevel="0" collapsed="false">
      <c r="A76" s="3" t="n">
        <v>75</v>
      </c>
      <c r="B76" s="3" t="s">
        <v>236</v>
      </c>
      <c r="C76" s="3" t="s">
        <v>271</v>
      </c>
      <c r="D76" s="3" t="s">
        <v>149</v>
      </c>
      <c r="E76" s="3" t="s">
        <v>272</v>
      </c>
      <c r="F76" s="3" t="s">
        <v>273</v>
      </c>
      <c r="G76" s="3" t="s">
        <v>240</v>
      </c>
      <c r="H76" s="3" t="s">
        <v>246</v>
      </c>
      <c r="I76" s="4" t="s">
        <v>64</v>
      </c>
      <c r="J76" s="5"/>
      <c r="K76" s="6" t="str">
        <f aca="false">IF(J76="","",WORKDAY(J76+4,1))</f>
        <v/>
      </c>
      <c r="L76" s="5"/>
      <c r="M76" s="4"/>
      <c r="N76" s="4"/>
      <c r="O76" s="4" t="s">
        <v>214</v>
      </c>
    </row>
    <row r="77" customFormat="false" ht="15" hidden="false" customHeight="true" outlineLevel="0" collapsed="false">
      <c r="A77" s="3" t="n">
        <v>76</v>
      </c>
      <c r="B77" s="3" t="s">
        <v>236</v>
      </c>
      <c r="C77" s="3" t="s">
        <v>274</v>
      </c>
      <c r="D77" s="3" t="s">
        <v>106</v>
      </c>
      <c r="E77" s="3" t="s">
        <v>275</v>
      </c>
      <c r="F77" s="3" t="s">
        <v>276</v>
      </c>
      <c r="G77" s="3" t="s">
        <v>240</v>
      </c>
      <c r="H77" s="3" t="s">
        <v>246</v>
      </c>
      <c r="I77" s="4" t="s">
        <v>64</v>
      </c>
      <c r="J77" s="5"/>
      <c r="K77" s="6" t="str">
        <f aca="false">IF(J77="","",WORKDAY(J77+4,1))</f>
        <v/>
      </c>
      <c r="L77" s="5"/>
      <c r="M77" s="4"/>
      <c r="N77" s="4"/>
      <c r="O77" s="4" t="s">
        <v>214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277</v>
      </c>
      <c r="D78" s="3" t="s">
        <v>17</v>
      </c>
      <c r="E78" s="3" t="s">
        <v>278</v>
      </c>
      <c r="F78" s="3" t="s">
        <v>279</v>
      </c>
      <c r="G78" s="3" t="s">
        <v>280</v>
      </c>
      <c r="H78" s="3" t="s">
        <v>21</v>
      </c>
      <c r="I78" s="4" t="s">
        <v>64</v>
      </c>
      <c r="J78" s="5"/>
      <c r="K78" s="6" t="str">
        <f aca="false">IF(J78="","",WORKDAY(J78+4,1))</f>
        <v/>
      </c>
      <c r="L78" s="5"/>
      <c r="M78" s="4"/>
      <c r="N78" s="4"/>
      <c r="O78" s="4" t="s">
        <v>242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281</v>
      </c>
      <c r="D79" s="3" t="s">
        <v>17</v>
      </c>
      <c r="E79" s="3" t="s">
        <v>282</v>
      </c>
      <c r="F79" s="3" t="s">
        <v>283</v>
      </c>
      <c r="G79" s="3" t="s">
        <v>284</v>
      </c>
      <c r="H79" s="3" t="s">
        <v>285</v>
      </c>
      <c r="I79" s="4" t="s">
        <v>64</v>
      </c>
      <c r="J79" s="5"/>
      <c r="K79" s="6" t="str">
        <f aca="false">IF(J79="","",WORKDAY(J79+4,1))</f>
        <v/>
      </c>
      <c r="L79" s="5"/>
      <c r="M79" s="4"/>
      <c r="N79" s="4"/>
      <c r="O79" s="4" t="s">
        <v>214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286</v>
      </c>
      <c r="D80" s="3" t="s">
        <v>17</v>
      </c>
      <c r="E80" s="3" t="s">
        <v>287</v>
      </c>
      <c r="F80" s="3" t="s">
        <v>288</v>
      </c>
      <c r="G80" s="3" t="s">
        <v>35</v>
      </c>
      <c r="H80" s="3" t="s">
        <v>289</v>
      </c>
      <c r="I80" s="4" t="s">
        <v>64</v>
      </c>
      <c r="J80" s="5"/>
      <c r="K80" s="6" t="str">
        <f aca="false">IF(J80="","",WORKDAY(J80+4,1))</f>
        <v/>
      </c>
      <c r="L80" s="5"/>
      <c r="M80" s="4"/>
      <c r="N80" s="4"/>
      <c r="O80" s="4" t="s">
        <v>242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290</v>
      </c>
      <c r="D81" s="3" t="s">
        <v>93</v>
      </c>
      <c r="E81" s="3" t="s">
        <v>291</v>
      </c>
      <c r="F81" s="3" t="s">
        <v>292</v>
      </c>
      <c r="G81" s="3" t="s">
        <v>284</v>
      </c>
      <c r="H81" s="3" t="s">
        <v>285</v>
      </c>
      <c r="I81" s="4" t="s">
        <v>64</v>
      </c>
      <c r="J81" s="5"/>
      <c r="K81" s="6" t="str">
        <f aca="false">IF(J81="","",WORKDAY(J81+4,1))</f>
        <v/>
      </c>
      <c r="L81" s="5"/>
      <c r="M81" s="4"/>
      <c r="N81" s="4"/>
      <c r="O81" s="4" t="s">
        <v>242</v>
      </c>
    </row>
    <row r="82" customFormat="false" ht="15" hidden="false" customHeight="true" outlineLevel="0" collapsed="false">
      <c r="A82" s="3" t="n">
        <v>81</v>
      </c>
      <c r="B82" s="3" t="s">
        <v>49</v>
      </c>
      <c r="C82" s="3" t="s">
        <v>293</v>
      </c>
      <c r="D82" s="3" t="s">
        <v>17</v>
      </c>
      <c r="E82" s="3" t="s">
        <v>294</v>
      </c>
      <c r="F82" s="3" t="s">
        <v>222</v>
      </c>
      <c r="G82" s="3" t="s">
        <v>62</v>
      </c>
      <c r="H82" s="3" t="s">
        <v>295</v>
      </c>
      <c r="I82" s="4" t="s">
        <v>64</v>
      </c>
      <c r="J82" s="5"/>
      <c r="K82" s="6" t="str">
        <f aca="false">IF(J82="","",WORKDAY(J82+4,1))</f>
        <v/>
      </c>
      <c r="L82" s="5"/>
      <c r="M82" s="4"/>
      <c r="N82" s="4"/>
      <c r="O82" s="4" t="s">
        <v>242</v>
      </c>
    </row>
    <row r="83" customFormat="false" ht="15" hidden="false" customHeight="true" outlineLevel="0" collapsed="false">
      <c r="A83" s="3" t="n">
        <v>82</v>
      </c>
      <c r="B83" s="3" t="s">
        <v>49</v>
      </c>
      <c r="C83" s="3" t="s">
        <v>296</v>
      </c>
      <c r="D83" s="3" t="s">
        <v>17</v>
      </c>
      <c r="E83" s="3" t="s">
        <v>297</v>
      </c>
      <c r="F83" s="3" t="s">
        <v>298</v>
      </c>
      <c r="G83" s="3" t="s">
        <v>240</v>
      </c>
      <c r="H83" s="3" t="s">
        <v>299</v>
      </c>
      <c r="I83" s="4" t="s">
        <v>64</v>
      </c>
      <c r="J83" s="5"/>
      <c r="K83" s="6" t="str">
        <f aca="false">IF(J83="","",WORKDAY(J83+4,1))</f>
        <v/>
      </c>
      <c r="L83" s="5"/>
      <c r="M83" s="4"/>
      <c r="N83" s="4"/>
      <c r="O83" s="4" t="s">
        <v>242</v>
      </c>
    </row>
    <row r="84" customFormat="false" ht="15" hidden="false" customHeight="true" outlineLevel="0" collapsed="false">
      <c r="A84" s="3" t="n">
        <v>83</v>
      </c>
      <c r="B84" s="3" t="s">
        <v>49</v>
      </c>
      <c r="C84" s="3" t="s">
        <v>300</v>
      </c>
      <c r="D84" s="3" t="s">
        <v>17</v>
      </c>
      <c r="E84" s="3" t="s">
        <v>301</v>
      </c>
      <c r="F84" s="3" t="s">
        <v>302</v>
      </c>
      <c r="G84" s="3" t="s">
        <v>303</v>
      </c>
      <c r="H84" s="3" t="s">
        <v>304</v>
      </c>
      <c r="I84" s="4" t="s">
        <v>64</v>
      </c>
      <c r="J84" s="5"/>
      <c r="K84" s="6" t="str">
        <f aca="false">IF(J84="","",WORKDAY(J84+4,1))</f>
        <v/>
      </c>
      <c r="L84" s="5"/>
      <c r="M84" s="4"/>
      <c r="N84" s="4"/>
      <c r="O84" s="4" t="s">
        <v>242</v>
      </c>
    </row>
    <row r="85" customFormat="false" ht="15" hidden="false" customHeight="true" outlineLevel="0" collapsed="false">
      <c r="A85" s="3" t="n">
        <v>84</v>
      </c>
      <c r="B85" s="3" t="s">
        <v>305</v>
      </c>
      <c r="C85" s="3" t="s">
        <v>306</v>
      </c>
      <c r="D85" s="3" t="s">
        <v>17</v>
      </c>
      <c r="E85" s="3" t="s">
        <v>307</v>
      </c>
      <c r="F85" s="3" t="s">
        <v>308</v>
      </c>
      <c r="G85" s="3" t="s">
        <v>127</v>
      </c>
      <c r="H85" s="3" t="s">
        <v>309</v>
      </c>
      <c r="I85" s="4" t="s">
        <v>64</v>
      </c>
      <c r="J85" s="5"/>
      <c r="K85" s="6" t="str">
        <f aca="false">IF(J85="","",WORKDAY(J85+4,1))</f>
        <v/>
      </c>
      <c r="L85" s="5"/>
      <c r="M85" s="4"/>
      <c r="N85" s="4"/>
      <c r="O85" s="4" t="s">
        <v>242</v>
      </c>
    </row>
    <row r="86" customFormat="false" ht="15" hidden="false" customHeight="true" outlineLevel="0" collapsed="false">
      <c r="A86" s="3" t="n">
        <v>85</v>
      </c>
      <c r="B86" s="3" t="s">
        <v>305</v>
      </c>
      <c r="C86" s="3" t="s">
        <v>310</v>
      </c>
      <c r="D86" s="3" t="s">
        <v>97</v>
      </c>
      <c r="E86" s="3" t="s">
        <v>311</v>
      </c>
      <c r="F86" s="3" t="s">
        <v>312</v>
      </c>
      <c r="G86" s="3" t="s">
        <v>127</v>
      </c>
      <c r="H86" s="3" t="s">
        <v>309</v>
      </c>
      <c r="I86" s="4" t="s">
        <v>64</v>
      </c>
      <c r="J86" s="5"/>
      <c r="K86" s="6" t="str">
        <f aca="false">IF(J86="","",WORKDAY(J86+4,1))</f>
        <v/>
      </c>
      <c r="L86" s="5"/>
      <c r="M86" s="4"/>
      <c r="N86" s="4"/>
      <c r="O86" s="4" t="s">
        <v>242</v>
      </c>
    </row>
    <row r="87" customFormat="false" ht="15" hidden="false" customHeight="true" outlineLevel="0" collapsed="false">
      <c r="A87" s="3" t="n">
        <v>86</v>
      </c>
      <c r="B87" s="3" t="s">
        <v>305</v>
      </c>
      <c r="C87" s="3" t="s">
        <v>313</v>
      </c>
      <c r="D87" s="3" t="s">
        <v>17</v>
      </c>
      <c r="E87" s="3" t="s">
        <v>314</v>
      </c>
      <c r="F87" s="3" t="s">
        <v>315</v>
      </c>
      <c r="G87" s="3" t="s">
        <v>316</v>
      </c>
      <c r="H87" s="3" t="s">
        <v>317</v>
      </c>
      <c r="I87" s="4" t="s">
        <v>64</v>
      </c>
      <c r="J87" s="5"/>
      <c r="K87" s="6" t="str">
        <f aca="false">IF(J87="","",WORKDAY(J87+4,1))</f>
        <v/>
      </c>
      <c r="L87" s="5"/>
      <c r="M87" s="4"/>
      <c r="N87" s="4"/>
      <c r="O87" s="4" t="s">
        <v>65</v>
      </c>
    </row>
    <row r="88" customFormat="false" ht="15" hidden="false" customHeight="true" outlineLevel="0" collapsed="false">
      <c r="A88" s="3" t="n">
        <v>87</v>
      </c>
      <c r="B88" s="3" t="s">
        <v>41</v>
      </c>
      <c r="C88" s="3" t="s">
        <v>318</v>
      </c>
      <c r="D88" s="3" t="s">
        <v>59</v>
      </c>
      <c r="E88" s="3" t="s">
        <v>319</v>
      </c>
      <c r="F88" s="3" t="s">
        <v>165</v>
      </c>
      <c r="G88" s="3" t="s">
        <v>320</v>
      </c>
      <c r="H88" s="3" t="s">
        <v>321</v>
      </c>
      <c r="I88" s="4" t="s">
        <v>64</v>
      </c>
      <c r="J88" s="5"/>
      <c r="K88" s="6" t="str">
        <f aca="false">IF(J88="","",WORKDAY(J88+4,1))</f>
        <v/>
      </c>
      <c r="L88" s="5"/>
      <c r="M88" s="4"/>
      <c r="N88" s="4"/>
      <c r="O88" s="4" t="s">
        <v>65</v>
      </c>
    </row>
    <row r="89" customFormat="false" ht="15" hidden="false" customHeight="true" outlineLevel="0" collapsed="false">
      <c r="A89" s="3" t="n">
        <v>88</v>
      </c>
      <c r="B89" s="3" t="s">
        <v>41</v>
      </c>
      <c r="C89" s="3" t="s">
        <v>322</v>
      </c>
      <c r="D89" s="3" t="s">
        <v>17</v>
      </c>
      <c r="E89" s="3" t="s">
        <v>323</v>
      </c>
      <c r="F89" s="3" t="s">
        <v>324</v>
      </c>
      <c r="G89" s="3" t="s">
        <v>320</v>
      </c>
      <c r="H89" s="3" t="s">
        <v>321</v>
      </c>
      <c r="I89" s="4" t="s">
        <v>64</v>
      </c>
      <c r="J89" s="5"/>
      <c r="K89" s="6" t="str">
        <f aca="false">IF(J89="","",WORKDAY(J89+4,1))</f>
        <v/>
      </c>
      <c r="L89" s="5"/>
      <c r="M89" s="4"/>
      <c r="N89" s="4"/>
      <c r="O89" s="4" t="s">
        <v>65</v>
      </c>
    </row>
    <row r="90" customFormat="false" ht="1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4"/>
      <c r="J90" s="5"/>
      <c r="K90" s="6" t="str">
        <f aca="false">IF(J90="","",WORKDAY(J90+4,1))</f>
        <v/>
      </c>
      <c r="L90" s="5"/>
      <c r="M90" s="4"/>
      <c r="N90" s="4"/>
      <c r="O90" s="4"/>
    </row>
    <row r="91" customFormat="false" ht="1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4"/>
      <c r="J91" s="5"/>
      <c r="K91" s="6" t="str">
        <f aca="false">IF(J91="","",WORKDAY(J91+4,1))</f>
        <v/>
      </c>
      <c r="L91" s="5"/>
      <c r="M91" s="4"/>
      <c r="N91" s="4"/>
      <c r="O91" s="4"/>
    </row>
    <row r="92" customFormat="false" ht="1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4"/>
      <c r="J92" s="5"/>
      <c r="K92" s="6" t="str">
        <f aca="false">IF(J92="","",WORKDAY(J92+4,1))</f>
        <v/>
      </c>
      <c r="L92" s="5"/>
      <c r="M92" s="4"/>
      <c r="N92" s="4"/>
      <c r="O92" s="4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4"/>
      <c r="J93" s="5"/>
      <c r="K93" s="6" t="str">
        <f aca="false">IF(J93="","",WORKDAY(J93+4,1))</f>
        <v/>
      </c>
      <c r="L93" s="5"/>
      <c r="M93" s="4"/>
      <c r="N93" s="4"/>
      <c r="O93" s="4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4"/>
      <c r="J94" s="5"/>
      <c r="K94" s="6" t="str">
        <f aca="false">IF(J94="","",WORKDAY(J94+4,1))</f>
        <v/>
      </c>
      <c r="L94" s="5"/>
      <c r="M94" s="4"/>
      <c r="N94" s="4"/>
      <c r="O94" s="4"/>
    </row>
    <row r="95" customFormat="false" ht="1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4"/>
      <c r="J95" s="5"/>
      <c r="K95" s="6" t="str">
        <f aca="false">IF(J95="","",WORKDAY(J95+4,1))</f>
        <v/>
      </c>
      <c r="L95" s="5"/>
      <c r="M95" s="4"/>
      <c r="N95" s="4"/>
      <c r="O95" s="4"/>
    </row>
    <row r="96" customFormat="false" ht="1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4"/>
      <c r="J96" s="5"/>
      <c r="K96" s="6" t="str">
        <f aca="false">IF(J96="","",WORKDAY(J96+4,1))</f>
        <v/>
      </c>
      <c r="L96" s="5"/>
      <c r="M96" s="4"/>
      <c r="N96" s="4"/>
      <c r="O96" s="4"/>
    </row>
    <row r="97" customFormat="false" ht="1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4"/>
      <c r="J97" s="5"/>
      <c r="K97" s="6" t="str">
        <f aca="false">IF(J97="","",WORKDAY(J97+4,1))</f>
        <v/>
      </c>
      <c r="L97" s="5"/>
      <c r="M97" s="4"/>
      <c r="N97" s="4"/>
      <c r="O97" s="4"/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325</v>
      </c>
    </row>
    <row r="3" customFormat="false" ht="15" hidden="false" customHeight="true" outlineLevel="0" collapsed="false">
      <c r="A3" s="8" t="s">
        <v>326</v>
      </c>
      <c r="B3" s="9" t="n">
        <f aca="false">COUNTIF(Suivi!$E$2:$E$200,"*@*")</f>
        <v>87</v>
      </c>
    </row>
    <row r="4" customFormat="false" ht="15" hidden="false" customHeight="true" outlineLevel="0" collapsed="false">
      <c r="A4" s="8" t="s">
        <v>327</v>
      </c>
      <c r="B4" s="9" t="n">
        <f aca="false">COUNTIF(Suivi!$I$2:$I$200,"Brouillon prêt")</f>
        <v>74</v>
      </c>
    </row>
    <row r="5" customFormat="false" ht="15" hidden="false" customHeight="true" outlineLevel="0" collapsed="false">
      <c r="A5" s="8" t="s">
        <v>328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12</v>
      </c>
    </row>
    <row r="6" customFormat="false" ht="15" hidden="false" customHeight="true" outlineLevel="0" collapsed="false">
      <c r="A6" s="8" t="s">
        <v>329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330</v>
      </c>
      <c r="B7" s="9" t="n">
        <f aca="false">COUNTIF(Suivi!$M$2:$M$200,"Oui")</f>
        <v>0</v>
      </c>
    </row>
    <row r="8" customFormat="false" ht="15" hidden="false" customHeight="true" outlineLevel="0" collapsed="false">
      <c r="A8" s="8" t="s">
        <v>331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332</v>
      </c>
      <c r="B9" s="9" t="n">
        <f aca="false">COUNTIF(Suivi!$I$2:$I$200,"Refus")</f>
        <v>0</v>
      </c>
    </row>
    <row r="10" customFormat="false" ht="15" hidden="false" customHeight="true" outlineLevel="0" collapsed="false">
      <c r="A10" s="8" t="s">
        <v>333</v>
      </c>
      <c r="B10" s="9" t="n">
        <f aca="false">COUNTIF(Suivi!$I$2:$I$200,"Adresse invalide")</f>
        <v>1</v>
      </c>
    </row>
    <row r="11" customFormat="false" ht="15" hidden="false" customHeight="true" outlineLevel="0" collapsed="false">
      <c r="A11" s="8" t="s">
        <v>334</v>
      </c>
      <c r="B11" s="10" t="n">
        <f aca="false">IFERROR(B7/B5,0)</f>
        <v>0</v>
      </c>
    </row>
    <row r="12" customFormat="false" ht="15" hidden="false" customHeight="true" outlineLevel="0" collapsed="false">
      <c r="A12" s="8" t="s">
        <v>335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336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337</v>
      </c>
    </row>
    <row r="17" customFormat="false" ht="15" hidden="false" customHeight="true" outlineLevel="0" collapsed="false">
      <c r="A17" s="9" t="s">
        <v>338</v>
      </c>
    </row>
    <row r="18" customFormat="false" ht="15" hidden="false" customHeight="true" outlineLevel="0" collapsed="false">
      <c r="A18" s="9" t="s">
        <v>1</v>
      </c>
      <c r="B18" s="9" t="s">
        <v>339</v>
      </c>
      <c r="C18" s="9" t="s">
        <v>340</v>
      </c>
      <c r="D18" s="9" t="s">
        <v>341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5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41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49</v>
      </c>
      <c r="B21" s="8" t="n">
        <f aca="false">COUNTIF(Suivi!$B$2:$B$200,A21)</f>
        <v>5</v>
      </c>
      <c r="C21" s="8" t="n">
        <f aca="false">COUNTIFS(Suivi!$B$2:$B$200,A21,Suivi!$J$2:$J$200,"&lt;&gt;")</f>
        <v>2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57</v>
      </c>
      <c r="B22" s="8" t="n">
        <f aca="false">COUNTIF(Suivi!$B$2:$B$200,A22)</f>
        <v>18</v>
      </c>
      <c r="C22" s="8" t="n">
        <f aca="false">COUNTIFS(Suivi!$B$2:$B$200,A22,Suivi!$J$2:$J$200,"&lt;&gt;")</f>
        <v>4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87</v>
      </c>
      <c r="B23" s="8" t="n">
        <f aca="false">COUNTIF(Suivi!$B$2:$B$200,A23)</f>
        <v>20</v>
      </c>
      <c r="C23" s="8" t="n">
        <f aca="false">COUNTIFS(Suivi!$B$2:$B$200,A23,Suivi!$J$2:$J$200,"&lt;&gt;")</f>
        <v>1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123</v>
      </c>
      <c r="B24" s="8" t="n">
        <f aca="false">COUNTIF(Suivi!$B$2:$B$200,A24)</f>
        <v>1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186</v>
      </c>
      <c r="B25" s="8" t="n">
        <f aca="false">COUNTIF(Suivi!$B$2:$B$200,A25)</f>
        <v>10</v>
      </c>
      <c r="C25" s="8" t="n">
        <f aca="false">COUNTIFS(Suivi!$B$2:$B$200,A25,Suivi!$J$2:$J$200,"&lt;&gt;")</f>
        <v>0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215</v>
      </c>
      <c r="B26" s="8" t="n">
        <f aca="false">COUNTIF(Suivi!$B$2:$B$200,A26)</f>
        <v>8</v>
      </c>
      <c r="C26" s="8" t="n">
        <f aca="false">COUNTIFS(Suivi!$B$2:$B$200,A26,Suivi!$J$2:$J$200,"&lt;&gt;")</f>
        <v>0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236</v>
      </c>
      <c r="B27" s="8" t="n">
        <f aca="false">COUNTIF(Suivi!$B$2:$B$200,A27)</f>
        <v>11</v>
      </c>
      <c r="C27" s="8" t="n">
        <f aca="false">COUNTIFS(Suivi!$B$2:$B$200,A27,Suivi!$J$2:$J$200,"&lt;&gt;")</f>
        <v>0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305</v>
      </c>
      <c r="B28" s="8" t="n">
        <f aca="false">COUNTIF(Suivi!$B$2:$B$200,A28)</f>
        <v>3</v>
      </c>
      <c r="C28" s="8" t="n">
        <f aca="false">COUNTIFS(Suivi!$B$2:$B$200,A28,Suivi!$J$2:$J$200,"&lt;&gt;")</f>
        <v>0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342</v>
      </c>
      <c r="B29" s="8" t="n">
        <f aca="false">SUM(B19:B28)</f>
        <v>88</v>
      </c>
      <c r="C29" s="8" t="n">
        <f aca="false">SUM(C19:C28)</f>
        <v>13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343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344</v>
      </c>
    </row>
    <row r="4" customFormat="false" ht="15" hidden="false" customHeight="true" outlineLevel="0" collapsed="false">
      <c r="A4" s="13" t="s">
        <v>345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346</v>
      </c>
    </row>
    <row r="7" customFormat="false" ht="15" hidden="false" customHeight="true" outlineLevel="0" collapsed="false">
      <c r="A7" s="13" t="s">
        <v>347</v>
      </c>
    </row>
    <row r="8" customFormat="false" ht="15" hidden="false" customHeight="true" outlineLevel="0" collapsed="false">
      <c r="A8" s="13" t="s">
        <v>348</v>
      </c>
    </row>
    <row r="9" customFormat="false" ht="15" hidden="false" customHeight="true" outlineLevel="0" collapsed="false">
      <c r="A9" s="13" t="s">
        <v>349</v>
      </c>
    </row>
    <row r="10" customFormat="false" ht="15" hidden="false" customHeight="true" outlineLevel="0" collapsed="false">
      <c r="A10" s="13" t="s">
        <v>350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351</v>
      </c>
    </row>
    <row r="13" customFormat="false" ht="15" hidden="false" customHeight="true" outlineLevel="0" collapsed="false">
      <c r="A13" s="13" t="s">
        <v>352</v>
      </c>
    </row>
    <row r="14" customFormat="false" ht="15" hidden="false" customHeight="true" outlineLevel="0" collapsed="false">
      <c r="A14" s="13" t="s">
        <v>353</v>
      </c>
    </row>
    <row r="15" customFormat="false" ht="15" hidden="false" customHeight="true" outlineLevel="0" collapsed="false">
      <c r="A15" s="13" t="s">
        <v>354</v>
      </c>
    </row>
    <row r="16" customFormat="false" ht="15" hidden="false" customHeight="true" outlineLevel="0" collapsed="false">
      <c r="A16" s="1" t="s">
        <v>355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2026-10-19T10:40:35Z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