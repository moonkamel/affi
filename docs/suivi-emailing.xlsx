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<sst xmlns="http://schemas.openxmlformats.org/spreadsheetml/2006/main" count="1175" uniqueCount="458">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</sst>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66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111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109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109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109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109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89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128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104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99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128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171</v>
      </c>
      <c r="D41" s="3" t="s">
        <v>61</v>
      </c>
      <c r="E41" s="3" t="s">
        <v>172</v>
      </c>
      <c r="F41" s="3" t="s">
        <v>81</v>
      </c>
      <c r="G41" s="3" t="s">
        <v>95</v>
      </c>
      <c r="H41" s="3" t="s">
        <v>96</v>
      </c>
      <c r="I41" s="4" t="s">
        <v>66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111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173</v>
      </c>
      <c r="D42" s="3" t="s">
        <v>61</v>
      </c>
      <c r="E42" s="3" t="s">
        <v>174</v>
      </c>
      <c r="F42" s="3" t="s">
        <v>175</v>
      </c>
      <c r="G42" s="3" t="s">
        <v>95</v>
      </c>
      <c r="H42" s="3" t="s">
        <v>96</v>
      </c>
      <c r="I42" s="4" t="s">
        <v>176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177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178</v>
      </c>
      <c r="D43" s="3" t="s">
        <v>99</v>
      </c>
      <c r="E43" s="3" t="s">
        <v>179</v>
      </c>
      <c r="F43" s="3" t="s">
        <v>170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180</v>
      </c>
      <c r="D44" s="3" t="s">
        <v>113</v>
      </c>
      <c r="E44" s="3" t="s">
        <v>181</v>
      </c>
      <c r="F44" s="3" t="s">
        <v>182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183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184</v>
      </c>
      <c r="D45" s="3" t="s">
        <v>128</v>
      </c>
      <c r="E45" s="3" t="s">
        <v>185</v>
      </c>
      <c r="F45" s="3" t="s">
        <v>170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186</v>
      </c>
      <c r="D46" s="3" t="s">
        <v>89</v>
      </c>
      <c r="E46" s="3" t="s">
        <v>187</v>
      </c>
      <c r="F46" s="3" t="s">
        <v>170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188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191</v>
      </c>
      <c r="D48" s="3" t="s">
        <v>86</v>
      </c>
      <c r="E48" s="3" t="s">
        <v>192</v>
      </c>
      <c r="F48" s="3" t="s">
        <v>193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89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79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99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205</v>
      </c>
      <c r="D52" s="3" t="s">
        <v>79</v>
      </c>
      <c r="E52" s="3" t="s">
        <v>206</v>
      </c>
      <c r="F52" s="3" t="s">
        <v>197</v>
      </c>
      <c r="G52" s="3" t="s">
        <v>134</v>
      </c>
      <c r="H52" s="3" t="s">
        <v>198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207</v>
      </c>
      <c r="D53" s="3" t="s">
        <v>99</v>
      </c>
      <c r="E53" s="3" t="s">
        <v>208</v>
      </c>
      <c r="F53" s="3" t="s">
        <v>197</v>
      </c>
      <c r="G53" s="3" t="s">
        <v>134</v>
      </c>
      <c r="H53" s="3" t="s">
        <v>198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209</v>
      </c>
      <c r="D54" s="3" t="s">
        <v>128</v>
      </c>
      <c r="E54" s="3" t="s">
        <v>210</v>
      </c>
      <c r="F54" s="3" t="s">
        <v>197</v>
      </c>
      <c r="G54" s="3" t="s">
        <v>134</v>
      </c>
      <c r="H54" s="3" t="s">
        <v>198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211</v>
      </c>
      <c r="D55" s="3" t="s">
        <v>79</v>
      </c>
      <c r="E55" s="3" t="s">
        <v>212</v>
      </c>
      <c r="F55" s="3" t="s">
        <v>213</v>
      </c>
      <c r="G55" s="3" t="s">
        <v>134</v>
      </c>
      <c r="H55" s="3" t="s">
        <v>198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214</v>
      </c>
      <c r="D56" s="3" t="s">
        <v>128</v>
      </c>
      <c r="E56" s="3" t="s">
        <v>215</v>
      </c>
      <c r="F56" s="3" t="s">
        <v>216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217</v>
      </c>
      <c r="D57" s="3" t="s">
        <v>128</v>
      </c>
      <c r="E57" s="3" t="s">
        <v>218</v>
      </c>
      <c r="F57" s="3" t="s">
        <v>219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220</v>
      </c>
      <c r="D58" s="3" t="s">
        <v>99</v>
      </c>
      <c r="E58" s="3" t="s">
        <v>221</v>
      </c>
      <c r="F58" s="3" t="s">
        <v>222</v>
      </c>
      <c r="G58" s="3" t="s">
        <v>134</v>
      </c>
      <c r="H58" s="3" t="s">
        <v>198</v>
      </c>
      <c r="I58" s="4" t="s">
        <v>66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111</v>
      </c>
    </row>
    <row r="59" customFormat="false" ht="15" hidden="false" customHeight="true" outlineLevel="0" collapsed="false">
      <c r="A59" s="3" t="n">
        <v>58</v>
      </c>
      <c r="B59" s="3" t="s">
        <v>223</v>
      </c>
      <c r="C59" s="3" t="s">
        <v>224</v>
      </c>
      <c r="D59" s="3" t="s">
        <v>17</v>
      </c>
      <c r="E59" s="3" t="s">
        <v>225</v>
      </c>
      <c r="F59" s="3" t="s">
        <v>226</v>
      </c>
      <c r="G59" s="3" t="s">
        <v>134</v>
      </c>
      <c r="H59" s="3" t="s">
        <v>227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228</v>
      </c>
    </row>
    <row r="60" customFormat="false" ht="15" hidden="false" customHeight="true" outlineLevel="0" collapsed="false">
      <c r="A60" s="3" t="n">
        <v>59</v>
      </c>
      <c r="B60" s="3" t="s">
        <v>223</v>
      </c>
      <c r="C60" s="3" t="s">
        <v>229</v>
      </c>
      <c r="D60" s="3" t="s">
        <v>113</v>
      </c>
      <c r="E60" s="3" t="s">
        <v>230</v>
      </c>
      <c r="F60" s="3" t="s">
        <v>231</v>
      </c>
      <c r="G60" s="3" t="s">
        <v>134</v>
      </c>
      <c r="H60" s="3" t="s">
        <v>227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223</v>
      </c>
      <c r="C61" s="3" t="s">
        <v>232</v>
      </c>
      <c r="D61" s="3" t="s">
        <v>61</v>
      </c>
      <c r="E61" s="3" t="s">
        <v>233</v>
      </c>
      <c r="F61" s="3" t="s">
        <v>231</v>
      </c>
      <c r="G61" s="3" t="s">
        <v>134</v>
      </c>
      <c r="H61" s="3" t="s">
        <v>227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223</v>
      </c>
      <c r="C62" s="3" t="s">
        <v>234</v>
      </c>
      <c r="D62" s="3" t="s">
        <v>86</v>
      </c>
      <c r="E62" s="3" t="s">
        <v>235</v>
      </c>
      <c r="F62" s="3" t="s">
        <v>231</v>
      </c>
      <c r="G62" s="3" t="s">
        <v>134</v>
      </c>
      <c r="H62" s="3" t="s">
        <v>227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223</v>
      </c>
      <c r="C63" s="3" t="s">
        <v>236</v>
      </c>
      <c r="D63" s="3" t="s">
        <v>61</v>
      </c>
      <c r="E63" s="3" t="s">
        <v>237</v>
      </c>
      <c r="F63" s="3" t="s">
        <v>231</v>
      </c>
      <c r="G63" s="3" t="s">
        <v>134</v>
      </c>
      <c r="H63" s="3" t="s">
        <v>227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223</v>
      </c>
      <c r="C64" s="3" t="s">
        <v>238</v>
      </c>
      <c r="D64" s="3" t="s">
        <v>128</v>
      </c>
      <c r="E64" s="3" t="s">
        <v>239</v>
      </c>
      <c r="F64" s="3" t="s">
        <v>231</v>
      </c>
      <c r="G64" s="3" t="s">
        <v>134</v>
      </c>
      <c r="H64" s="3" t="s">
        <v>227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223</v>
      </c>
      <c r="C65" s="3" t="s">
        <v>240</v>
      </c>
      <c r="D65" s="3" t="s">
        <v>99</v>
      </c>
      <c r="E65" s="3" t="s">
        <v>241</v>
      </c>
      <c r="F65" s="3" t="s">
        <v>231</v>
      </c>
      <c r="G65" s="3" t="s">
        <v>134</v>
      </c>
      <c r="H65" s="3" t="s">
        <v>227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223</v>
      </c>
      <c r="C66" s="3" t="s">
        <v>242</v>
      </c>
      <c r="D66" s="3" t="s">
        <v>89</v>
      </c>
      <c r="E66" s="3" t="s">
        <v>243</v>
      </c>
      <c r="F66" s="3" t="s">
        <v>244</v>
      </c>
      <c r="G66" s="3" t="s">
        <v>134</v>
      </c>
      <c r="H66" s="3" t="s">
        <v>227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245</v>
      </c>
      <c r="C67" s="3" t="s">
        <v>246</v>
      </c>
      <c r="D67" s="3" t="s">
        <v>17</v>
      </c>
      <c r="E67" s="3" t="s">
        <v>247</v>
      </c>
      <c r="F67" s="3" t="s">
        <v>248</v>
      </c>
      <c r="G67" s="3" t="s">
        <v>249</v>
      </c>
      <c r="H67" s="3" t="s">
        <v>250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251</v>
      </c>
    </row>
    <row r="68" customFormat="false" ht="15" hidden="false" customHeight="true" outlineLevel="0" collapsed="false">
      <c r="A68" s="3" t="n">
        <v>67</v>
      </c>
      <c r="B68" s="3" t="s">
        <v>245</v>
      </c>
      <c r="C68" s="3" t="s">
        <v>252</v>
      </c>
      <c r="D68" s="3" t="s">
        <v>17</v>
      </c>
      <c r="E68" s="3" t="s">
        <v>253</v>
      </c>
      <c r="F68" s="3" t="s">
        <v>254</v>
      </c>
      <c r="G68" s="3" t="s">
        <v>249</v>
      </c>
      <c r="H68" s="3" t="s">
        <v>255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245</v>
      </c>
      <c r="C69" s="3" t="s">
        <v>256</v>
      </c>
      <c r="D69" s="3" t="s">
        <v>69</v>
      </c>
      <c r="E69" s="3" t="s">
        <v>257</v>
      </c>
      <c r="F69" s="3" t="s">
        <v>258</v>
      </c>
      <c r="G69" s="3" t="s">
        <v>249</v>
      </c>
      <c r="H69" s="3" t="s">
        <v>255</v>
      </c>
      <c r="I69" s="4" t="s">
        <v>66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111</v>
      </c>
    </row>
    <row r="70" customFormat="false" ht="15" hidden="false" customHeight="true" outlineLevel="0" collapsed="false">
      <c r="A70" s="3" t="n">
        <v>69</v>
      </c>
      <c r="B70" s="3" t="s">
        <v>245</v>
      </c>
      <c r="C70" s="3" t="s">
        <v>259</v>
      </c>
      <c r="D70" s="3" t="s">
        <v>17</v>
      </c>
      <c r="E70" s="3" t="s">
        <v>260</v>
      </c>
      <c r="F70" s="3" t="s">
        <v>261</v>
      </c>
      <c r="G70" s="3" t="s">
        <v>249</v>
      </c>
      <c r="H70" s="3" t="s">
        <v>255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245</v>
      </c>
      <c r="C71" s="3" t="s">
        <v>262</v>
      </c>
      <c r="D71" s="3" t="s">
        <v>86</v>
      </c>
      <c r="E71" s="3" t="s">
        <v>263</v>
      </c>
      <c r="F71" s="3" t="s">
        <v>264</v>
      </c>
      <c r="G71" s="3" t="s">
        <v>265</v>
      </c>
      <c r="H71" s="3" t="s">
        <v>266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188</v>
      </c>
    </row>
    <row r="72" customFormat="false" ht="15" hidden="false" customHeight="true" outlineLevel="0" collapsed="false">
      <c r="A72" s="3" t="n">
        <v>71</v>
      </c>
      <c r="B72" s="3" t="s">
        <v>245</v>
      </c>
      <c r="C72" s="3" t="s">
        <v>267</v>
      </c>
      <c r="D72" s="3" t="s">
        <v>99</v>
      </c>
      <c r="E72" s="3" t="s">
        <v>268</v>
      </c>
      <c r="F72" s="3" t="s">
        <v>269</v>
      </c>
      <c r="G72" s="3" t="s">
        <v>249</v>
      </c>
      <c r="H72" s="3" t="s">
        <v>255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245</v>
      </c>
      <c r="C73" s="3" t="s">
        <v>270</v>
      </c>
      <c r="D73" s="3" t="s">
        <v>73</v>
      </c>
      <c r="E73" s="3" t="s">
        <v>271</v>
      </c>
      <c r="F73" s="3" t="s">
        <v>272</v>
      </c>
      <c r="G73" s="3" t="s">
        <v>249</v>
      </c>
      <c r="H73" s="3" t="s">
        <v>255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188</v>
      </c>
    </row>
    <row r="74" customFormat="false" ht="15" hidden="false" customHeight="true" outlineLevel="0" collapsed="false">
      <c r="A74" s="3" t="n">
        <v>73</v>
      </c>
      <c r="B74" s="3" t="s">
        <v>245</v>
      </c>
      <c r="C74" s="3" t="s">
        <v>273</v>
      </c>
      <c r="D74" s="3" t="s">
        <v>61</v>
      </c>
      <c r="E74" s="3" t="s">
        <v>274</v>
      </c>
      <c r="F74" s="3" t="s">
        <v>275</v>
      </c>
      <c r="G74" s="3" t="s">
        <v>249</v>
      </c>
      <c r="H74" s="3" t="s">
        <v>255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188</v>
      </c>
    </row>
    <row r="75" customFormat="false" ht="15" hidden="false" customHeight="true" outlineLevel="0" collapsed="false">
      <c r="A75" s="3" t="n">
        <v>74</v>
      </c>
      <c r="B75" s="3" t="s">
        <v>245</v>
      </c>
      <c r="C75" s="3" t="s">
        <v>276</v>
      </c>
      <c r="D75" s="3" t="s">
        <v>104</v>
      </c>
      <c r="E75" s="3" t="s">
        <v>277</v>
      </c>
      <c r="F75" s="3" t="s">
        <v>278</v>
      </c>
      <c r="G75" s="3" t="s">
        <v>265</v>
      </c>
      <c r="H75" s="3" t="s">
        <v>279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188</v>
      </c>
    </row>
    <row r="76" customFormat="false" ht="15" hidden="false" customHeight="true" outlineLevel="0" collapsed="false">
      <c r="A76" s="3" t="n">
        <v>75</v>
      </c>
      <c r="B76" s="3" t="s">
        <v>245</v>
      </c>
      <c r="C76" s="3" t="s">
        <v>280</v>
      </c>
      <c r="D76" s="3" t="s">
        <v>154</v>
      </c>
      <c r="E76" s="3" t="s">
        <v>281</v>
      </c>
      <c r="F76" s="3" t="s">
        <v>282</v>
      </c>
      <c r="G76" s="3" t="s">
        <v>249</v>
      </c>
      <c r="H76" s="3" t="s">
        <v>255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245</v>
      </c>
      <c r="C77" s="3" t="s">
        <v>283</v>
      </c>
      <c r="D77" s="3" t="s">
        <v>113</v>
      </c>
      <c r="E77" s="3" t="s">
        <v>284</v>
      </c>
      <c r="F77" s="3" t="s">
        <v>285</v>
      </c>
      <c r="G77" s="3" t="s">
        <v>249</v>
      </c>
      <c r="H77" s="3" t="s">
        <v>255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286</v>
      </c>
      <c r="D78" s="3" t="s">
        <v>17</v>
      </c>
      <c r="E78" s="3" t="s">
        <v>287</v>
      </c>
      <c r="F78" s="3" t="s">
        <v>288</v>
      </c>
      <c r="G78" s="3" t="s">
        <v>289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290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291</v>
      </c>
      <c r="D79" s="3" t="s">
        <v>17</v>
      </c>
      <c r="E79" s="3" t="s">
        <v>292</v>
      </c>
      <c r="F79" s="3" t="s">
        <v>293</v>
      </c>
      <c r="G79" s="3" t="s">
        <v>294</v>
      </c>
      <c r="H79" s="3" t="s">
        <v>295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296</v>
      </c>
      <c r="D80" s="3" t="s">
        <v>17</v>
      </c>
      <c r="E80" s="3" t="s">
        <v>297</v>
      </c>
      <c r="F80" s="3" t="s">
        <v>298</v>
      </c>
      <c r="G80" s="3" t="s">
        <v>37</v>
      </c>
      <c r="H80" s="3" t="s">
        <v>299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300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301</v>
      </c>
      <c r="D81" s="3" t="s">
        <v>99</v>
      </c>
      <c r="E81" s="3" t="s">
        <v>302</v>
      </c>
      <c r="F81" s="3" t="s">
        <v>303</v>
      </c>
      <c r="G81" s="3" t="s">
        <v>294</v>
      </c>
      <c r="H81" s="3" t="s">
        <v>295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188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304</v>
      </c>
      <c r="D82" s="3" t="s">
        <v>17</v>
      </c>
      <c r="E82" s="3" t="s">
        <v>305</v>
      </c>
      <c r="F82" s="3" t="s">
        <v>231</v>
      </c>
      <c r="G82" s="3" t="s">
        <v>64</v>
      </c>
      <c r="H82" s="3" t="s">
        <v>306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188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307</v>
      </c>
      <c r="D83" s="3" t="s">
        <v>17</v>
      </c>
      <c r="E83" s="3" t="s">
        <v>308</v>
      </c>
      <c r="F83" s="3" t="s">
        <v>309</v>
      </c>
      <c r="G83" s="3" t="s">
        <v>249</v>
      </c>
      <c r="H83" s="3" t="s">
        <v>310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188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311</v>
      </c>
      <c r="D84" s="3" t="s">
        <v>17</v>
      </c>
      <c r="E84" s="3" t="s">
        <v>312</v>
      </c>
      <c r="F84" s="3" t="s">
        <v>313</v>
      </c>
      <c r="G84" s="3" t="s">
        <v>314</v>
      </c>
      <c r="H84" s="3" t="s">
        <v>315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188</v>
      </c>
    </row>
    <row r="85" customFormat="false" ht="15" hidden="false" customHeight="true" outlineLevel="0" collapsed="false">
      <c r="A85" s="3" t="n">
        <v>84</v>
      </c>
      <c r="B85" s="3" t="s">
        <v>316</v>
      </c>
      <c r="C85" s="3" t="s">
        <v>317</v>
      </c>
      <c r="D85" s="3" t="s">
        <v>17</v>
      </c>
      <c r="E85" s="3" t="s">
        <v>318</v>
      </c>
      <c r="F85" s="3" t="s">
        <v>319</v>
      </c>
      <c r="G85" s="3" t="s">
        <v>134</v>
      </c>
      <c r="H85" s="3" t="s">
        <v>320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188</v>
      </c>
    </row>
    <row r="86" customFormat="false" ht="15" hidden="false" customHeight="true" outlineLevel="0" collapsed="false">
      <c r="A86" s="3" t="n">
        <v>85</v>
      </c>
      <c r="B86" s="3" t="s">
        <v>316</v>
      </c>
      <c r="C86" s="3" t="s">
        <v>321</v>
      </c>
      <c r="D86" s="3" t="s">
        <v>104</v>
      </c>
      <c r="E86" s="3" t="s">
        <v>322</v>
      </c>
      <c r="F86" s="3" t="s">
        <v>323</v>
      </c>
      <c r="G86" s="3" t="s">
        <v>134</v>
      </c>
      <c r="H86" s="3" t="s">
        <v>320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316</v>
      </c>
      <c r="C87" s="3" t="s">
        <v>324</v>
      </c>
      <c r="D87" s="3" t="s">
        <v>17</v>
      </c>
      <c r="E87" s="3" t="s">
        <v>325</v>
      </c>
      <c r="F87" s="3" t="s">
        <v>326</v>
      </c>
      <c r="G87" s="3" t="s">
        <v>327</v>
      </c>
      <c r="H87" s="3" t="s">
        <v>328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329</v>
      </c>
      <c r="D88" s="3" t="s">
        <v>61</v>
      </c>
      <c r="E88" s="3" t="s">
        <v>330</v>
      </c>
      <c r="F88" s="3" t="s">
        <v>170</v>
      </c>
      <c r="G88" s="3" t="s">
        <v>331</v>
      </c>
      <c r="H88" s="3" t="s">
        <v>332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333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334</v>
      </c>
      <c r="D89" s="3" t="s">
        <v>17</v>
      </c>
      <c r="E89" s="3" t="s">
        <v>335</v>
      </c>
      <c r="F89" s="3" t="s">
        <v>336</v>
      </c>
      <c r="G89" s="3" t="s">
        <v>331</v>
      </c>
      <c r="H89" s="3" t="s">
        <v>332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337</v>
      </c>
      <c r="D90" s="3" t="s">
        <v>73</v>
      </c>
      <c r="E90" s="3" t="s">
        <v>338</v>
      </c>
      <c r="F90" s="3" t="s">
        <v>339</v>
      </c>
      <c r="G90" s="3" t="s">
        <v>134</v>
      </c>
      <c r="H90" s="3" t="s">
        <v>198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340</v>
      </c>
      <c r="D91" s="3" t="s">
        <v>73</v>
      </c>
      <c r="E91" s="3" t="s">
        <v>341</v>
      </c>
      <c r="F91" s="3" t="s">
        <v>342</v>
      </c>
      <c r="G91" s="3" t="s">
        <v>134</v>
      </c>
      <c r="H91" s="3" t="s">
        <v>198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343</v>
      </c>
      <c r="D92" s="3" t="s">
        <v>61</v>
      </c>
      <c r="E92" s="3" t="s">
        <v>344</v>
      </c>
      <c r="F92" s="3" t="s">
        <v>345</v>
      </c>
      <c r="G92" s="3" t="s">
        <v>134</v>
      </c>
      <c r="H92" s="3" t="s">
        <v>198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346</v>
      </c>
      <c r="D93" s="3" t="s">
        <v>73</v>
      </c>
      <c r="E93" s="3" t="s">
        <v>347</v>
      </c>
      <c r="F93" s="3" t="s">
        <v>348</v>
      </c>
      <c r="G93" s="3" t="s">
        <v>134</v>
      </c>
      <c r="H93" s="3" t="s">
        <v>198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349</v>
      </c>
      <c r="D94" s="3" t="s">
        <v>99</v>
      </c>
      <c r="E94" s="3" t="s">
        <v>350</v>
      </c>
      <c r="F94" s="3" t="s">
        <v>351</v>
      </c>
      <c r="G94" s="3" t="s">
        <v>134</v>
      </c>
      <c r="H94" s="3" t="s">
        <v>198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352</v>
      </c>
      <c r="D95" s="3" t="s">
        <v>69</v>
      </c>
      <c r="E95" s="3" t="s">
        <v>353</v>
      </c>
      <c r="F95" s="3" t="s">
        <v>354</v>
      </c>
      <c r="G95" s="3" t="s">
        <v>134</v>
      </c>
      <c r="H95" s="3" t="s">
        <v>198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355</v>
      </c>
      <c r="D96" s="3" t="s">
        <v>69</v>
      </c>
      <c r="E96" s="3" t="s">
        <v>356</v>
      </c>
      <c r="F96" s="3" t="s">
        <v>354</v>
      </c>
      <c r="G96" s="3" t="s">
        <v>134</v>
      </c>
      <c r="H96" s="3" t="s">
        <v>198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357</v>
      </c>
      <c r="D97" s="3" t="s">
        <v>69</v>
      </c>
      <c r="E97" s="3" t="s">
        <v>358</v>
      </c>
      <c r="F97" s="3" t="s">
        <v>354</v>
      </c>
      <c r="G97" s="3" t="s">
        <v>134</v>
      </c>
      <c r="H97" s="3" t="s">
        <v>198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359</v>
      </c>
      <c r="D98" s="3" t="s">
        <v>79</v>
      </c>
      <c r="E98" s="3" t="s">
        <v>360</v>
      </c>
      <c r="F98" s="3" t="s">
        <v>197</v>
      </c>
      <c r="G98" s="3" t="s">
        <v>361</v>
      </c>
      <c r="H98" s="3" t="s">
        <v>198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362</v>
      </c>
      <c r="D99" s="3" t="s">
        <v>154</v>
      </c>
      <c r="E99" s="3" t="s">
        <v>363</v>
      </c>
      <c r="F99" s="3" t="s">
        <v>197</v>
      </c>
      <c r="G99" s="3" t="s">
        <v>361</v>
      </c>
      <c r="H99" s="3" t="s">
        <v>198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364</v>
      </c>
      <c r="D100" s="3" t="s">
        <v>365</v>
      </c>
      <c r="E100" s="3" t="s">
        <v>366</v>
      </c>
      <c r="F100" s="3" t="s">
        <v>197</v>
      </c>
      <c r="G100" s="3" t="s">
        <v>361</v>
      </c>
      <c r="H100" s="3" t="s">
        <v>198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367</v>
      </c>
      <c r="D101" s="3" t="s">
        <v>69</v>
      </c>
      <c r="E101" s="3" t="s">
        <v>368</v>
      </c>
      <c r="F101" s="3" t="s">
        <v>197</v>
      </c>
      <c r="G101" s="3" t="s">
        <v>361</v>
      </c>
      <c r="H101" s="3" t="s">
        <v>198</v>
      </c>
      <c r="I101" s="4" t="s">
        <v>66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111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369</v>
      </c>
      <c r="D102" s="3" t="s">
        <v>109</v>
      </c>
      <c r="E102" s="3" t="s">
        <v>370</v>
      </c>
      <c r="F102" s="3" t="s">
        <v>197</v>
      </c>
      <c r="G102" s="3" t="s">
        <v>361</v>
      </c>
      <c r="H102" s="3" t="s">
        <v>198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371</v>
      </c>
      <c r="D103" s="3" t="s">
        <v>73</v>
      </c>
      <c r="E103" s="3" t="s">
        <v>372</v>
      </c>
      <c r="F103" s="3" t="s">
        <v>373</v>
      </c>
      <c r="G103" s="3" t="s">
        <v>361</v>
      </c>
      <c r="H103" s="3" t="s">
        <v>198</v>
      </c>
      <c r="I103" s="4" t="s">
        <v>66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111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374</v>
      </c>
      <c r="D104" s="3" t="s">
        <v>61</v>
      </c>
      <c r="E104" s="3" t="s">
        <v>375</v>
      </c>
      <c r="F104" s="3" t="s">
        <v>197</v>
      </c>
      <c r="G104" s="3" t="s">
        <v>361</v>
      </c>
      <c r="H104" s="3" t="s">
        <v>198</v>
      </c>
      <c r="I104" s="4" t="s">
        <v>66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111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376</v>
      </c>
      <c r="D105" s="3" t="s">
        <v>69</v>
      </c>
      <c r="E105" s="3" t="s">
        <v>377</v>
      </c>
      <c r="F105" s="3" t="s">
        <v>378</v>
      </c>
      <c r="G105" s="3" t="s">
        <v>361</v>
      </c>
      <c r="H105" s="3" t="s">
        <v>198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379</v>
      </c>
      <c r="D106" s="3" t="s">
        <v>69</v>
      </c>
      <c r="E106" s="3" t="s">
        <v>380</v>
      </c>
      <c r="F106" s="3" t="s">
        <v>378</v>
      </c>
      <c r="G106" s="3" t="s">
        <v>361</v>
      </c>
      <c r="H106" s="3" t="s">
        <v>198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381</v>
      </c>
      <c r="D107" s="3" t="s">
        <v>69</v>
      </c>
      <c r="E107" s="3" t="s">
        <v>382</v>
      </c>
      <c r="F107" s="3" t="s">
        <v>378</v>
      </c>
      <c r="G107" s="3" t="s">
        <v>361</v>
      </c>
      <c r="H107" s="3" t="s">
        <v>198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383</v>
      </c>
      <c r="D108" s="3" t="s">
        <v>69</v>
      </c>
      <c r="E108" s="3" t="s">
        <v>384</v>
      </c>
      <c r="F108" s="3" t="s">
        <v>378</v>
      </c>
      <c r="G108" s="3" t="s">
        <v>361</v>
      </c>
      <c r="H108" s="3" t="s">
        <v>198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385</v>
      </c>
      <c r="D109" s="3" t="s">
        <v>69</v>
      </c>
      <c r="E109" s="3" t="s">
        <v>386</v>
      </c>
      <c r="F109" s="3" t="s">
        <v>378</v>
      </c>
      <c r="G109" s="3" t="s">
        <v>361</v>
      </c>
      <c r="H109" s="3" t="s">
        <v>198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387</v>
      </c>
      <c r="D110" s="3" t="s">
        <v>69</v>
      </c>
      <c r="E110" s="3" t="s">
        <v>388</v>
      </c>
      <c r="F110" s="3" t="s">
        <v>378</v>
      </c>
      <c r="G110" s="3" t="s">
        <v>361</v>
      </c>
      <c r="H110" s="3" t="s">
        <v>198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389</v>
      </c>
      <c r="D111" s="3" t="s">
        <v>69</v>
      </c>
      <c r="E111" s="3" t="s">
        <v>390</v>
      </c>
      <c r="F111" s="3" t="s">
        <v>378</v>
      </c>
      <c r="G111" s="3" t="s">
        <v>361</v>
      </c>
      <c r="H111" s="3" t="s">
        <v>198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391</v>
      </c>
      <c r="D112" s="3" t="s">
        <v>154</v>
      </c>
      <c r="E112" s="3" t="s">
        <v>392</v>
      </c>
      <c r="F112" s="3" t="s">
        <v>393</v>
      </c>
      <c r="G112" s="3" t="s">
        <v>361</v>
      </c>
      <c r="H112" s="3" t="s">
        <v>394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395</v>
      </c>
      <c r="D113" s="3" t="s">
        <v>154</v>
      </c>
      <c r="E113" s="3" t="s">
        <v>396</v>
      </c>
      <c r="F113" s="3" t="s">
        <v>393</v>
      </c>
      <c r="G113" s="3" t="s">
        <v>361</v>
      </c>
      <c r="H113" s="3" t="s">
        <v>198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223</v>
      </c>
      <c r="C114" s="3" t="s">
        <v>397</v>
      </c>
      <c r="D114" s="3" t="s">
        <v>73</v>
      </c>
      <c r="E114" s="3" t="s">
        <v>398</v>
      </c>
      <c r="F114" s="3" t="s">
        <v>231</v>
      </c>
      <c r="G114" s="3" t="s">
        <v>361</v>
      </c>
      <c r="H114" s="3" t="s">
        <v>198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223</v>
      </c>
      <c r="C115" s="3" t="s">
        <v>399</v>
      </c>
      <c r="D115" s="3" t="s">
        <v>61</v>
      </c>
      <c r="E115" s="3" t="s">
        <v>400</v>
      </c>
      <c r="F115" s="3" t="s">
        <v>231</v>
      </c>
      <c r="G115" s="3" t="s">
        <v>361</v>
      </c>
      <c r="H115" s="3" t="s">
        <v>198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223</v>
      </c>
      <c r="C116" s="3" t="s">
        <v>401</v>
      </c>
      <c r="D116" s="3" t="s">
        <v>99</v>
      </c>
      <c r="E116" s="3" t="s">
        <v>402</v>
      </c>
      <c r="F116" s="3" t="s">
        <v>231</v>
      </c>
      <c r="G116" s="3" t="s">
        <v>361</v>
      </c>
      <c r="H116" s="3" t="s">
        <v>198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223</v>
      </c>
      <c r="C117" s="3" t="s">
        <v>403</v>
      </c>
      <c r="D117" s="3" t="s">
        <v>86</v>
      </c>
      <c r="E117" s="3" t="s">
        <v>404</v>
      </c>
      <c r="F117" s="3" t="s">
        <v>231</v>
      </c>
      <c r="G117" s="3" t="s">
        <v>361</v>
      </c>
      <c r="H117" s="3" t="s">
        <v>198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223</v>
      </c>
      <c r="C118" s="3" t="s">
        <v>405</v>
      </c>
      <c r="D118" s="3" t="s">
        <v>79</v>
      </c>
      <c r="E118" s="3" t="s">
        <v>406</v>
      </c>
      <c r="F118" s="3" t="s">
        <v>231</v>
      </c>
      <c r="G118" s="3" t="s">
        <v>361</v>
      </c>
      <c r="H118" s="3" t="s">
        <v>198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223</v>
      </c>
      <c r="C119" s="3" t="s">
        <v>407</v>
      </c>
      <c r="D119" s="3" t="s">
        <v>69</v>
      </c>
      <c r="E119" s="3" t="s">
        <v>408</v>
      </c>
      <c r="F119" s="3" t="s">
        <v>231</v>
      </c>
      <c r="G119" s="3" t="s">
        <v>361</v>
      </c>
      <c r="H119" s="3" t="s">
        <v>198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223</v>
      </c>
      <c r="C120" s="3" t="s">
        <v>409</v>
      </c>
      <c r="D120" s="3" t="s">
        <v>99</v>
      </c>
      <c r="E120" s="3" t="s">
        <v>410</v>
      </c>
      <c r="F120" s="3" t="s">
        <v>231</v>
      </c>
      <c r="G120" s="3" t="s">
        <v>361</v>
      </c>
      <c r="H120" s="3" t="s">
        <v>198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411</v>
      </c>
      <c r="D121" s="3" t="s">
        <v>99</v>
      </c>
      <c r="E121" s="3" t="s">
        <v>412</v>
      </c>
      <c r="F121" s="3" t="s">
        <v>413</v>
      </c>
      <c r="G121" s="3" t="s">
        <v>361</v>
      </c>
      <c r="H121" s="3" t="s">
        <v>198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414</v>
      </c>
      <c r="D122" s="3" t="s">
        <v>154</v>
      </c>
      <c r="E122" s="3" t="s">
        <v>415</v>
      </c>
      <c r="F122" s="3" t="s">
        <v>416</v>
      </c>
      <c r="G122" s="3" t="s">
        <v>361</v>
      </c>
      <c r="H122" s="3" t="s">
        <v>198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417</v>
      </c>
      <c r="D123" s="3" t="s">
        <v>154</v>
      </c>
      <c r="E123" s="3" t="s">
        <v>418</v>
      </c>
      <c r="F123" s="3" t="s">
        <v>419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420</v>
      </c>
      <c r="D124" s="3" t="s">
        <v>17</v>
      </c>
      <c r="E124" s="3" t="s">
        <v>421</v>
      </c>
      <c r="F124" s="3" t="s">
        <v>422</v>
      </c>
      <c r="G124" s="3" t="s">
        <v>95</v>
      </c>
      <c r="H124" s="3" t="s">
        <v>96</v>
      </c>
      <c r="I124" s="4" t="s">
        <v>66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111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423</v>
      </c>
      <c r="D125" s="3" t="s">
        <v>17</v>
      </c>
      <c r="E125" s="3" t="s">
        <v>424</v>
      </c>
      <c r="F125" s="3" t="s">
        <v>425</v>
      </c>
      <c r="G125" s="3" t="s">
        <v>426</v>
      </c>
      <c r="H125" s="3" t="s">
        <v>427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428</v>
      </c>
    </row>
    <row r="3" customFormat="false" ht="15" hidden="false" customHeight="true" outlineLevel="0" collapsed="false">
      <c r="A3" s="8" t="s">
        <v>429</v>
      </c>
      <c r="B3" s="9" t="n">
        <f aca="false">COUNTIF(Suivi!$E$2:$E$200,"*@*")</f>
        <v>123</v>
      </c>
    </row>
    <row r="4" customFormat="false" ht="15" hidden="false" customHeight="true" outlineLevel="0" collapsed="false">
      <c r="A4" s="8" t="s">
        <v>430</v>
      </c>
      <c r="B4" s="9" t="n">
        <f aca="false">COUNTIF(Suivi!$I$2:$I$200,"Brouillon prêt")</f>
        <v>0</v>
      </c>
    </row>
    <row r="5" customFormat="false" ht="15" hidden="false" customHeight="true" outlineLevel="0" collapsed="false">
      <c r="A5" s="8" t="s">
        <v>431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116</v>
      </c>
    </row>
    <row r="6" customFormat="false" ht="15" hidden="false" customHeight="true" outlineLevel="0" collapsed="false">
      <c r="A6" s="8" t="s">
        <v>432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433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434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176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435</v>
      </c>
      <c r="B10" s="9" t="n">
        <f aca="false">COUNTIF(Suivi!$I$2:$I$200,"Adresse invalide")</f>
        <v>8</v>
      </c>
    </row>
    <row r="11" customFormat="false" ht="15" hidden="false" customHeight="true" outlineLevel="0" collapsed="false">
      <c r="A11" s="8" t="s">
        <v>436</v>
      </c>
      <c r="B11" s="10" t="n">
        <f aca="false">IFERROR(B7/B5,0)</f>
        <v>0.0172413793103448</v>
      </c>
    </row>
    <row r="12" customFormat="false" ht="15" hidden="false" customHeight="true" outlineLevel="0" collapsed="false">
      <c r="A12" s="8" t="s">
        <v>437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438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439</v>
      </c>
    </row>
    <row r="17" customFormat="false" ht="15" hidden="false" customHeight="true" outlineLevel="0" collapsed="false">
      <c r="A17" s="9" t="s">
        <v>440</v>
      </c>
    </row>
    <row r="18" customFormat="false" ht="15" hidden="false" customHeight="true" outlineLevel="0" collapsed="false">
      <c r="A18" s="9" t="s">
        <v>1</v>
      </c>
      <c r="B18" s="9" t="s">
        <v>441</v>
      </c>
      <c r="C18" s="9" t="s">
        <v>442</v>
      </c>
      <c r="D18" s="9" t="s">
        <v>443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19</v>
      </c>
      <c r="C22" s="8" t="n">
        <f aca="false">COUNTIFS(Suivi!$B$2:$B$200,A22,Suivi!$J$2:$J$200,"&lt;&gt;")</f>
        <v>19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26</v>
      </c>
      <c r="C25" s="8" t="n">
        <f aca="false">COUNTIFS(Suivi!$B$2:$B$200,A25,Suivi!$J$2:$J$200,"&lt;&gt;")</f>
        <v>26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223</v>
      </c>
      <c r="B26" s="8" t="n">
        <f aca="false">COUNTIF(Suivi!$B$2:$B$200,A26)</f>
        <v>15</v>
      </c>
      <c r="C26" s="8" t="n">
        <f aca="false">COUNTIFS(Suivi!$B$2:$B$200,A26,Suivi!$J$2:$J$200,"&lt;&gt;")</f>
        <v>15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245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316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444</v>
      </c>
      <c r="B29" s="8" t="n">
        <f aca="false">SUM(B19:B28)</f>
        <v>124</v>
      </c>
      <c r="C29" s="8" t="n">
        <f aca="false">SUM(C19:C28)</f>
        <v>123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445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446</v>
      </c>
    </row>
    <row r="4" customFormat="false" ht="15" hidden="false" customHeight="true" outlineLevel="0" collapsed="false">
      <c r="A4" s="13" t="s">
        <v>447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448</v>
      </c>
    </row>
    <row r="7" customFormat="false" ht="15" hidden="false" customHeight="true" outlineLevel="0" collapsed="false">
      <c r="A7" s="13" t="s">
        <v>449</v>
      </c>
    </row>
    <row r="8" customFormat="false" ht="15" hidden="false" customHeight="true" outlineLevel="0" collapsed="false">
      <c r="A8" s="13" t="s">
        <v>450</v>
      </c>
    </row>
    <row r="9" customFormat="false" ht="15" hidden="false" customHeight="true" outlineLevel="0" collapsed="false">
      <c r="A9" s="13" t="s">
        <v>451</v>
      </c>
    </row>
    <row r="10" customFormat="false" ht="15" hidden="false" customHeight="true" outlineLevel="0" collapsed="false">
      <c r="A10" s="13" t="s">
        <v>452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453</v>
      </c>
    </row>
    <row r="13" customFormat="false" ht="15" hidden="false" customHeight="true" outlineLevel="0" collapsed="false">
      <c r="A13" s="13" t="s">
        <v>454</v>
      </c>
    </row>
    <row r="14" customFormat="false" ht="15" hidden="false" customHeight="true" outlineLevel="0" collapsed="false">
      <c r="A14" s="13" t="s">
        <v>455</v>
      </c>
    </row>
    <row r="15" customFormat="false" ht="15" hidden="false" customHeight="true" outlineLevel="0" collapsed="false">
      <c r="A15" s="13" t="s">
        <v>456</v>
      </c>
    </row>
    <row r="16" customFormat="false" ht="15" hidden="false" customHeight="true" outlineLevel="0" collapsed="false">
      <c r="A16" s="1" t="s">
        <v>457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2026-10-26T09:51:50Z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