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<sst xmlns="http://schemas.openxmlformats.org/spreadsheetml/2006/main" count="1256" uniqueCount="493">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</sst>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128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128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128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113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128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155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113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171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340</v>
      </c>
      <c r="D90" s="3" t="s">
        <v>73</v>
      </c>
      <c r="E90" s="3" t="s">
        <v>341</v>
      </c>
      <c r="F90" s="3" t="s">
        <v>342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343</v>
      </c>
      <c r="D91" s="3" t="s">
        <v>73</v>
      </c>
      <c r="E91" s="3" t="s">
        <v>344</v>
      </c>
      <c r="F91" s="3" t="s">
        <v>345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349</v>
      </c>
      <c r="D93" s="3" t="s">
        <v>73</v>
      </c>
      <c r="E93" s="3" t="s">
        <v>350</v>
      </c>
      <c r="F93" s="3" t="s">
        <v>351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352</v>
      </c>
      <c r="D94" s="3" t="s">
        <v>99</v>
      </c>
      <c r="E94" s="3" t="s">
        <v>353</v>
      </c>
      <c r="F94" s="3" t="s">
        <v>354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355</v>
      </c>
      <c r="D95" s="3" t="s">
        <v>69</v>
      </c>
      <c r="E95" s="3" t="s">
        <v>356</v>
      </c>
      <c r="F95" s="3" t="s">
        <v>357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358</v>
      </c>
      <c r="D96" s="3" t="s">
        <v>69</v>
      </c>
      <c r="E96" s="3" t="s">
        <v>359</v>
      </c>
      <c r="F96" s="3" t="s">
        <v>357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360</v>
      </c>
      <c r="D97" s="3" t="s">
        <v>69</v>
      </c>
      <c r="E97" s="3" t="s">
        <v>361</v>
      </c>
      <c r="F97" s="3" t="s">
        <v>357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362</v>
      </c>
      <c r="D98" s="3" t="s">
        <v>79</v>
      </c>
      <c r="E98" s="3" t="s">
        <v>363</v>
      </c>
      <c r="F98" s="3" t="s">
        <v>199</v>
      </c>
      <c r="G98" s="3" t="s">
        <v>364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365</v>
      </c>
      <c r="D99" s="3" t="s">
        <v>155</v>
      </c>
      <c r="E99" s="3" t="s">
        <v>366</v>
      </c>
      <c r="F99" s="3" t="s">
        <v>199</v>
      </c>
      <c r="G99" s="3" t="s">
        <v>364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367</v>
      </c>
      <c r="D100" s="3" t="s">
        <v>368</v>
      </c>
      <c r="E100" s="3" t="s">
        <v>369</v>
      </c>
      <c r="F100" s="3" t="s">
        <v>199</v>
      </c>
      <c r="G100" s="3" t="s">
        <v>364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370</v>
      </c>
      <c r="D101" s="3" t="s">
        <v>69</v>
      </c>
      <c r="E101" s="3" t="s">
        <v>371</v>
      </c>
      <c r="F101" s="3" t="s">
        <v>199</v>
      </c>
      <c r="G101" s="3" t="s">
        <v>364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373</v>
      </c>
      <c r="D102" s="3" t="s">
        <v>109</v>
      </c>
      <c r="E102" s="3" t="s">
        <v>374</v>
      </c>
      <c r="F102" s="3" t="s">
        <v>199</v>
      </c>
      <c r="G102" s="3" t="s">
        <v>364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375</v>
      </c>
      <c r="D103" s="3" t="s">
        <v>73</v>
      </c>
      <c r="E103" s="3" t="s">
        <v>376</v>
      </c>
      <c r="F103" s="3" t="s">
        <v>377</v>
      </c>
      <c r="G103" s="3" t="s">
        <v>364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379</v>
      </c>
      <c r="D104" s="3" t="s">
        <v>61</v>
      </c>
      <c r="E104" s="3" t="s">
        <v>380</v>
      </c>
      <c r="F104" s="3" t="s">
        <v>199</v>
      </c>
      <c r="G104" s="3" t="s">
        <v>364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381</v>
      </c>
      <c r="D105" s="3" t="s">
        <v>69</v>
      </c>
      <c r="E105" s="3" t="s">
        <v>382</v>
      </c>
      <c r="F105" s="3" t="s">
        <v>383</v>
      </c>
      <c r="G105" s="3" t="s">
        <v>364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384</v>
      </c>
      <c r="D106" s="3" t="s">
        <v>69</v>
      </c>
      <c r="E106" s="3" t="s">
        <v>385</v>
      </c>
      <c r="F106" s="3" t="s">
        <v>383</v>
      </c>
      <c r="G106" s="3" t="s">
        <v>364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386</v>
      </c>
      <c r="D107" s="3" t="s">
        <v>69</v>
      </c>
      <c r="E107" s="3" t="s">
        <v>387</v>
      </c>
      <c r="F107" s="3" t="s">
        <v>383</v>
      </c>
      <c r="G107" s="3" t="s">
        <v>364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388</v>
      </c>
      <c r="D108" s="3" t="s">
        <v>69</v>
      </c>
      <c r="E108" s="3" t="s">
        <v>389</v>
      </c>
      <c r="F108" s="3" t="s">
        <v>383</v>
      </c>
      <c r="G108" s="3" t="s">
        <v>364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390</v>
      </c>
      <c r="D109" s="3" t="s">
        <v>69</v>
      </c>
      <c r="E109" s="3" t="s">
        <v>391</v>
      </c>
      <c r="F109" s="3" t="s">
        <v>383</v>
      </c>
      <c r="G109" s="3" t="s">
        <v>364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392</v>
      </c>
      <c r="D110" s="3" t="s">
        <v>69</v>
      </c>
      <c r="E110" s="3" t="s">
        <v>393</v>
      </c>
      <c r="F110" s="3" t="s">
        <v>383</v>
      </c>
      <c r="G110" s="3" t="s">
        <v>364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394</v>
      </c>
      <c r="D111" s="3" t="s">
        <v>69</v>
      </c>
      <c r="E111" s="3" t="s">
        <v>395</v>
      </c>
      <c r="F111" s="3" t="s">
        <v>383</v>
      </c>
      <c r="G111" s="3" t="s">
        <v>364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396</v>
      </c>
      <c r="D112" s="3" t="s">
        <v>155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400</v>
      </c>
      <c r="D113" s="3" t="s">
        <v>155</v>
      </c>
      <c r="E113" s="3" t="s">
        <v>401</v>
      </c>
      <c r="F113" s="3" t="s">
        <v>398</v>
      </c>
      <c r="G113" s="3" t="s">
        <v>364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73</v>
      </c>
      <c r="E114" s="3" t="s">
        <v>403</v>
      </c>
      <c r="F114" s="3" t="s">
        <v>234</v>
      </c>
      <c r="G114" s="3" t="s">
        <v>364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99</v>
      </c>
      <c r="E116" s="3" t="s">
        <v>407</v>
      </c>
      <c r="F116" s="3" t="s">
        <v>234</v>
      </c>
      <c r="G116" s="3" t="s">
        <v>364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86</v>
      </c>
      <c r="E117" s="3" t="s">
        <v>409</v>
      </c>
      <c r="F117" s="3" t="s">
        <v>234</v>
      </c>
      <c r="G117" s="3" t="s">
        <v>364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79</v>
      </c>
      <c r="E118" s="3" t="s">
        <v>411</v>
      </c>
      <c r="F118" s="3" t="s">
        <v>234</v>
      </c>
      <c r="G118" s="3" t="s">
        <v>364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69</v>
      </c>
      <c r="E119" s="3" t="s">
        <v>413</v>
      </c>
      <c r="F119" s="3" t="s">
        <v>234</v>
      </c>
      <c r="G119" s="3" t="s">
        <v>364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99</v>
      </c>
      <c r="E120" s="3" t="s">
        <v>415</v>
      </c>
      <c r="F120" s="3" t="s">
        <v>234</v>
      </c>
      <c r="G120" s="3" t="s">
        <v>364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99</v>
      </c>
      <c r="E121" s="3" t="s">
        <v>417</v>
      </c>
      <c r="F121" s="3" t="s">
        <v>418</v>
      </c>
      <c r="G121" s="3" t="s">
        <v>364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419</v>
      </c>
      <c r="D122" s="3" t="s">
        <v>155</v>
      </c>
      <c r="E122" s="3" t="s">
        <v>420</v>
      </c>
      <c r="F122" s="3" t="s">
        <v>421</v>
      </c>
      <c r="G122" s="3" t="s">
        <v>364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422</v>
      </c>
      <c r="D123" s="3" t="s">
        <v>155</v>
      </c>
      <c r="E123" s="3" t="s">
        <v>423</v>
      </c>
      <c r="F123" s="3" t="s">
        <v>424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 t="n">
        <v>125</v>
      </c>
      <c r="B126" s="3" t="s">
        <v>196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66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111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66</v>
      </c>
      <c r="J127" s="5" t="n">
        <v>46321</v>
      </c>
      <c r="K127" s="6" t="n">
        <f aca="false">IF(J127="","",WORKDAY(J127+4,1))</f>
        <v>46328</v>
      </c>
      <c r="L127" s="5"/>
      <c r="M127" s="4"/>
      <c r="N127" s="4"/>
      <c r="O127" s="4" t="s">
        <v>111</v>
      </c>
    </row>
    <row r="128" customFormat="false" ht="15" hidden="false" customHeight="true" outlineLevel="0" collapsed="false">
      <c r="A128" s="3" t="n">
        <v>127</v>
      </c>
      <c r="B128" s="3" t="s">
        <v>196</v>
      </c>
      <c r="C128" s="3" t="s">
        <v>441</v>
      </c>
      <c r="D128" s="3" t="s">
        <v>61</v>
      </c>
      <c r="E128" s="3" t="s">
        <v>442</v>
      </c>
      <c r="F128" s="3" t="s">
        <v>443</v>
      </c>
      <c r="G128" s="3" t="s">
        <v>436</v>
      </c>
      <c r="H128" s="3" t="s">
        <v>444</v>
      </c>
      <c r="I128" s="4" t="s">
        <v>66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111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445</v>
      </c>
      <c r="D129" s="3" t="s">
        <v>61</v>
      </c>
      <c r="E129" s="3" t="s">
        <v>446</v>
      </c>
      <c r="F129" s="3" t="s">
        <v>440</v>
      </c>
      <c r="G129" s="3" t="s">
        <v>436</v>
      </c>
      <c r="H129" s="3" t="s">
        <v>444</v>
      </c>
      <c r="I129" s="4" t="s">
        <v>76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174</v>
      </c>
    </row>
    <row r="130" customFormat="false" ht="15" hidden="false" customHeight="true" outlineLevel="0" collapsed="false">
      <c r="A130" s="3" t="n">
        <v>129</v>
      </c>
      <c r="B130" s="3" t="s">
        <v>196</v>
      </c>
      <c r="C130" s="3" t="s">
        <v>447</v>
      </c>
      <c r="D130" s="3" t="s">
        <v>128</v>
      </c>
      <c r="E130" s="3" t="s">
        <v>448</v>
      </c>
      <c r="F130" s="3" t="s">
        <v>199</v>
      </c>
      <c r="G130" s="3" t="s">
        <v>436</v>
      </c>
      <c r="H130" s="3" t="s">
        <v>449</v>
      </c>
      <c r="I130" s="4" t="s">
        <v>66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111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450</v>
      </c>
      <c r="D131" s="3" t="s">
        <v>128</v>
      </c>
      <c r="E131" s="3" t="s">
        <v>451</v>
      </c>
      <c r="F131" s="3" t="s">
        <v>452</v>
      </c>
      <c r="G131" s="3" t="s">
        <v>436</v>
      </c>
      <c r="H131" s="3" t="s">
        <v>449</v>
      </c>
      <c r="I131" s="4" t="s">
        <v>66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111</v>
      </c>
    </row>
    <row r="132" customFormat="false" ht="15" hidden="false" customHeight="true" outlineLevel="0" collapsed="false">
      <c r="A132" s="3" t="n">
        <v>131</v>
      </c>
      <c r="B132" s="3" t="s">
        <v>196</v>
      </c>
      <c r="C132" s="3" t="s">
        <v>453</v>
      </c>
      <c r="D132" s="3" t="s">
        <v>73</v>
      </c>
      <c r="E132" s="3" t="s">
        <v>454</v>
      </c>
      <c r="F132" s="3" t="s">
        <v>435</v>
      </c>
      <c r="G132" s="3" t="s">
        <v>436</v>
      </c>
      <c r="H132" s="3" t="s">
        <v>455</v>
      </c>
      <c r="I132" s="4" t="s">
        <v>66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111</v>
      </c>
    </row>
    <row r="133" customFormat="false" ht="15" hidden="false" customHeight="true" outlineLevel="0" collapsed="false">
      <c r="A133" s="3" t="n">
        <v>132</v>
      </c>
      <c r="B133" s="3" t="s">
        <v>196</v>
      </c>
      <c r="C133" s="3" t="s">
        <v>456</v>
      </c>
      <c r="D133" s="3" t="s">
        <v>139</v>
      </c>
      <c r="E133" s="3" t="s">
        <v>457</v>
      </c>
      <c r="F133" s="3" t="s">
        <v>458</v>
      </c>
      <c r="G133" s="3" t="s">
        <v>436</v>
      </c>
      <c r="H133" s="3" t="s">
        <v>459</v>
      </c>
      <c r="I133" s="4" t="s">
        <v>66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111</v>
      </c>
    </row>
    <row r="134" customFormat="false" ht="15" hidden="false" customHeight="true" outlineLevel="0" collapsed="false">
      <c r="A134" s="3" t="n">
        <v>133</v>
      </c>
      <c r="B134" s="3" t="s">
        <v>196</v>
      </c>
      <c r="C134" s="3" t="s">
        <v>460</v>
      </c>
      <c r="D134" s="3" t="s">
        <v>73</v>
      </c>
      <c r="E134" s="3" t="s">
        <v>461</v>
      </c>
      <c r="F134" s="3" t="s">
        <v>435</v>
      </c>
      <c r="G134" s="3" t="s">
        <v>436</v>
      </c>
      <c r="H134" s="3" t="s">
        <v>462</v>
      </c>
      <c r="I134" s="4" t="s">
        <v>66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111</v>
      </c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463</v>
      </c>
    </row>
    <row r="3" customFormat="false" ht="15" hidden="false" customHeight="true" outlineLevel="0" collapsed="false">
      <c r="A3" s="8" t="s">
        <v>464</v>
      </c>
      <c r="B3" s="9" t="n">
        <f aca="false">COUNTIF(Suivi!$E$2:$E$200,"*@*")</f>
        <v>132</v>
      </c>
    </row>
    <row r="4" customFormat="false" ht="15" hidden="false" customHeight="true" outlineLevel="0" collapsed="false">
      <c r="A4" s="8" t="s">
        <v>465</v>
      </c>
      <c r="B4" s="9" t="n">
        <f aca="false">COUNTIF(Suivi!$I$2:$I$200,"Brouillon prêt")</f>
        <v>0</v>
      </c>
    </row>
    <row r="5" customFormat="false" ht="15" hidden="false" customHeight="true" outlineLevel="0" collapsed="false">
      <c r="A5" s="8" t="s">
        <v>466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116</v>
      </c>
    </row>
    <row r="6" customFormat="false" ht="15" hidden="false" customHeight="true" outlineLevel="0" collapsed="false">
      <c r="A6" s="8" t="s">
        <v>467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468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469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470</v>
      </c>
      <c r="B10" s="9" t="n">
        <f aca="false">COUNTIF(Suivi!$I$2:$I$200,"Adresse invalide")</f>
        <v>17</v>
      </c>
    </row>
    <row r="11" customFormat="false" ht="15" hidden="false" customHeight="true" outlineLevel="0" collapsed="false">
      <c r="A11" s="8" t="s">
        <v>471</v>
      </c>
      <c r="B11" s="10" t="n">
        <f aca="false">IFERROR(B7/B5,0)</f>
        <v>0.0172413793103448</v>
      </c>
    </row>
    <row r="12" customFormat="false" ht="15" hidden="false" customHeight="true" outlineLevel="0" collapsed="false">
      <c r="A12" s="8" t="s">
        <v>472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473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474</v>
      </c>
    </row>
    <row r="17" customFormat="false" ht="15" hidden="false" customHeight="true" outlineLevel="0" collapsed="false">
      <c r="A17" s="9" t="s">
        <v>475</v>
      </c>
    </row>
    <row r="18" customFormat="false" ht="15" hidden="false" customHeight="true" outlineLevel="0" collapsed="false">
      <c r="A18" s="9" t="s">
        <v>1</v>
      </c>
      <c r="B18" s="9" t="s">
        <v>476</v>
      </c>
      <c r="C18" s="9" t="s">
        <v>477</v>
      </c>
      <c r="D18" s="9" t="s">
        <v>478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32</v>
      </c>
      <c r="C25" s="8" t="n">
        <f aca="false">COUNTIFS(Suivi!$B$2:$B$200,A25,Suivi!$J$2:$J$200,"&lt;&gt;")</f>
        <v>32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17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479</v>
      </c>
      <c r="B29" s="8" t="n">
        <f aca="false">SUM(B19:B28)</f>
        <v>133</v>
      </c>
      <c r="C29" s="8" t="n">
        <f aca="false">SUM(C19:C28)</f>
        <v>132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480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481</v>
      </c>
    </row>
    <row r="4" customFormat="false" ht="15" hidden="false" customHeight="true" outlineLevel="0" collapsed="false">
      <c r="A4" s="13" t="s">
        <v>482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483</v>
      </c>
    </row>
    <row r="7" customFormat="false" ht="15" hidden="false" customHeight="true" outlineLevel="0" collapsed="false">
      <c r="A7" s="13" t="s">
        <v>484</v>
      </c>
    </row>
    <row r="8" customFormat="false" ht="15" hidden="false" customHeight="true" outlineLevel="0" collapsed="false">
      <c r="A8" s="13" t="s">
        <v>485</v>
      </c>
    </row>
    <row r="9" customFormat="false" ht="15" hidden="false" customHeight="true" outlineLevel="0" collapsed="false">
      <c r="A9" s="13" t="s">
        <v>486</v>
      </c>
    </row>
    <row r="10" customFormat="false" ht="15" hidden="false" customHeight="true" outlineLevel="0" collapsed="false">
      <c r="A10" s="13" t="s">
        <v>487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488</v>
      </c>
    </row>
    <row r="13" customFormat="false" ht="15" hidden="false" customHeight="true" outlineLevel="0" collapsed="false">
      <c r="A13" s="13" t="s">
        <v>489</v>
      </c>
    </row>
    <row r="14" customFormat="false" ht="15" hidden="false" customHeight="true" outlineLevel="0" collapsed="false">
      <c r="A14" s="13" t="s">
        <v>490</v>
      </c>
    </row>
    <row r="15" customFormat="false" ht="15" hidden="false" customHeight="true" outlineLevel="0" collapsed="false">
      <c r="A15" s="13" t="s">
        <v>491</v>
      </c>
    </row>
    <row r="16" customFormat="false" ht="15" hidden="false" customHeight="true" outlineLevel="0" collapsed="false">
      <c r="A16" s="1" t="s">
        <v>492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2026-10-26T10:26:10Z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