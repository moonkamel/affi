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Statistiques" sheetId="2" state="visible" r:id="rId4"/>
    <sheet name="Mode d'emploi" sheetId="3" state="visible" r:id="rId5"/>
  </sheets>
  <definedNames>
    <definedName function="false" hidden="true" localSheetId="0" name="_xlnm._FilterDatabase" vbProcedure="false">Suivi!$A$1:$O$200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Liste déroulante. Passe à « Envoyé » le jour de l'envoi.</t>
        </r>
      </text>
    </comment>
    <comment ref="K1" authorId="0">
      <text>
        <r>
          <rPr>
            <sz val="10"/>
            <rFont val="Arial"/>
            <family val="2"/>
          </rPr>
          <t xml:space="preserve">Calculé automatiquement : date d'envoi + 5 jours. Devient orange quand la relance est due.</t>
        </r>
      </text>
    </comment>
  </commentList>
</comments>
</file>

<file path=xl/sharedStrings.xml><?xml version="1.0" encoding="utf-8"?>
<sst xmlns="http://schemas.openxmlformats.org/spreadsheetml/2006/main" count="923" uniqueCount="393">
  <si>
    <t xml:space="preserve">#</t>
  </si>
  <si>
    <t xml:space="preserve">Catégorie</t>
  </si>
  <si>
    <t xml:space="preserve">Organisme</t>
  </si>
  <si>
    <t xml:space="preserve">Région</t>
  </si>
  <si>
    <t xml:space="preserve">E-mail</t>
  </si>
  <si>
    <t xml:space="preserve">Source / fiabilité</t>
  </si>
  <si>
    <t xml:space="preserve">Angle</t>
  </si>
  <si>
    <t xml:space="preserve">Objet du mail</t>
  </si>
  <si>
    <t xml:space="preserve">Statut</t>
  </si>
  <si>
    <t xml:space="preserve">Date d'envoi</t>
  </si>
  <si>
    <t xml:space="preserve">Relance prévue (J+5 ouvré)</t>
  </si>
  <si>
    <t xml:space="preserve">Date de relance</t>
  </si>
  <si>
    <t xml:space="preserve">Réponse</t>
  </si>
  <si>
    <t xml:space="preserve">Lien obtenu (URL)</t>
  </si>
  <si>
    <t xml:space="preserve">Notes</t>
  </si>
  <si>
    <t xml:space="preserve">Média</t>
  </si>
  <si>
    <t xml:space="preserve">Maddyness</t>
  </si>
  <si>
    <t xml:space="preserve">National</t>
  </si>
  <si>
    <t xml:space="preserve">redaction@maddyness.com</t>
  </si>
  <si>
    <t xml:space="preserve">Officiel (page Facebook de Maddyness)</t>
  </si>
  <si>
    <t xml:space="preserve">Baromètre des prix</t>
  </si>
  <si>
    <t xml:space="preserve">83 % des logiciels de caisse cachent leurs prix (étude TPE 2027)</t>
  </si>
  <si>
    <t xml:space="preserve">Relancé</t>
  </si>
  <si>
    <t xml:space="preserve">Le Blog du Dirigeant</t>
  </si>
  <si>
    <t xml:space="preserve">contact@leblogdudirigeant.com</t>
  </si>
  <si>
    <t xml:space="preserve">Officiel (page contact, indexée il y a environ 3 ans)</t>
  </si>
  <si>
    <t xml:space="preserve">Une donnée inédite pour vos lecteurs dirigeants de TPE</t>
  </si>
  <si>
    <t xml:space="preserve">Répondu</t>
  </si>
  <si>
    <t xml:space="preserve">Oui</t>
  </si>
  <si>
    <t xml:space="preserve">19/10 : propose un article sponsorisé (500 € HT fourni, 650 € HT rédigé). Décliné le 19/10 ; proposé un extrait de données gratuit. Pas de relance.</t>
  </si>
  <si>
    <t xml:space="preserve">Compta-Online</t>
  </si>
  <si>
    <t xml:space="preserve">forum@compta-online.com</t>
  </si>
  <si>
    <t xml:space="preserve">Fournie par toi</t>
  </si>
  <si>
    <t xml:space="preserve">Simulateurs</t>
  </si>
  <si>
    <t xml:space="preserve">Des simulateurs gratuits à intégrer pour vos lecteurs (TVA, charges, IK)</t>
  </si>
  <si>
    <t xml:space="preserve">Portail Auto-Entrepreneur</t>
  </si>
  <si>
    <t xml:space="preserve">contact@portail-autoentrepreneur.fr</t>
  </si>
  <si>
    <t xml:space="preserve">Simulateurs charges + TVA</t>
  </si>
  <si>
    <t xml:space="preserve">Un simulateur de charges gratuit pour vos lecteurs auto-entrepreneurs</t>
  </si>
  <si>
    <t xml:space="preserve">Journal du Freelance</t>
  </si>
  <si>
    <t xml:space="preserve">tavor.management@gmail.com</t>
  </si>
  <si>
    <t xml:space="preserve">Calculateur TJM</t>
  </si>
  <si>
    <t xml:space="preserve">Un calculateur de TJM gratuit pour vos lecteurs freelances</t>
  </si>
  <si>
    <t xml:space="preserve">Expert-comptable</t>
  </si>
  <si>
    <t xml:space="preserve">les-experts-comptables.fr</t>
  </si>
  <si>
    <t xml:space="preserve">(page Contact du site)</t>
  </si>
  <si>
    <t xml:space="preserve">Article cité : /ressources/facturation-electronique-auto-entrepreneur/</t>
  </si>
  <si>
    <t xml:space="preserve">Simulateur seuil TVA</t>
  </si>
  <si>
    <t xml:space="preserve">Un simulateur de seuil de TVA gratuit pour compléter votre guide auto-entrepreneur</t>
  </si>
  <si>
    <t xml:space="preserve">Pas de réponse</t>
  </si>
  <si>
    <t xml:space="preserve">Brouillon supprimé le 19/10 (pas d’adresse publique) : passer par le formulaire du site si besoin</t>
  </si>
  <si>
    <t xml:space="preserve">Fédération</t>
  </si>
  <si>
    <t xml:space="preserve">FNAE</t>
  </si>
  <si>
    <t xml:space="preserve">contact@fnae.fr</t>
  </si>
  <si>
    <t xml:space="preserve">Guide + check-list</t>
  </si>
  <si>
    <t xml:space="preserve">Une ressource gratuite pour vos adhérents auto-entrepreneurs</t>
  </si>
  <si>
    <t xml:space="preserve">Union des auto-entrepreneurs</t>
  </si>
  <si>
    <t xml:space="preserve">contact@union-auto-entrepreneurs.com</t>
  </si>
  <si>
    <t xml:space="preserve">Une ressource gratuite pour les auto-entrepreneurs que vous accompagnez</t>
  </si>
  <si>
    <t xml:space="preserve">CCI</t>
  </si>
  <si>
    <t xml:space="preserve">CCI Paris Île-de-France (Val-d'Oise)</t>
  </si>
  <si>
    <t xml:space="preserve">Île-de-France</t>
  </si>
  <si>
    <t xml:space="preserve">creation95@cci-paris-idf.fr</t>
  </si>
  <si>
    <t xml:space="preserve">Tiers (valparisis.fr)</t>
  </si>
  <si>
    <t xml:space="preserve">Check-list + simulateurs</t>
  </si>
  <si>
    <t xml:space="preserve">Un outil gratuit pour vos porteurs de projet (facture électronique 2027)</t>
  </si>
  <si>
    <t xml:space="preserve">Envoyé</t>
  </si>
  <si>
    <t xml:space="preserve">Relance prévue le 28/10/2026</t>
  </si>
  <si>
    <t xml:space="preserve">CCI Bretagne</t>
  </si>
  <si>
    <t xml:space="preserve">Bretagne</t>
  </si>
  <si>
    <t xml:space="preserve">ccir@bretagne.cci.fr</t>
  </si>
  <si>
    <t xml:space="preserve">Officiel ancien (douane.gouv.fr), à vérifier</t>
  </si>
  <si>
    <t xml:space="preserve">CCI Hauts-de-France</t>
  </si>
  <si>
    <t xml:space="preserve">Hauts-de-France</t>
  </si>
  <si>
    <t xml:space="preserve">ccideregion@hautsdefrance.cci.fr</t>
  </si>
  <si>
    <t xml:space="preserve">Tiers (document CCI repris)</t>
  </si>
  <si>
    <t xml:space="preserve">Adresse invalide</t>
  </si>
  <si>
    <t xml:space="preserve">23/10 : rebond, message bloqué par le serveur de CCI Hauts-de-France. Pas de relance.</t>
  </si>
  <si>
    <t xml:space="preserve">CCI Ouest Normandie</t>
  </si>
  <si>
    <t xml:space="preserve">Normandie</t>
  </si>
  <si>
    <t xml:space="preserve">cci@normandie.cci.fr</t>
  </si>
  <si>
    <t xml:space="preserve">Tiers (annuaire-administration.com)</t>
  </si>
  <si>
    <t xml:space="preserve">23/10 : rebond, message bloqué par le serveur de CCI Ouest Normandie. Pas de relance.</t>
  </si>
  <si>
    <t xml:space="preserve">CCI Portes de Normandie</t>
  </si>
  <si>
    <t xml:space="preserve">info-eure@normandie.cci.fr</t>
  </si>
  <si>
    <t xml:space="preserve">CCI Nouvelle-Aquitaine</t>
  </si>
  <si>
    <t xml:space="preserve">Nouvelle-Aquitaine</t>
  </si>
  <si>
    <t xml:space="preserve">contact@nouvelle-aquitaine.cci.fr</t>
  </si>
  <si>
    <t xml:space="preserve">CCI Nantes St-Nazaire (création-reprise)</t>
  </si>
  <si>
    <t xml:space="preserve">Pays de la Loire</t>
  </si>
  <si>
    <t xml:space="preserve">conseil-creation-reprise@44.cci.fr</t>
  </si>
  <si>
    <t xml:space="preserve">Tiers, source non relevée : à vérifier</t>
  </si>
  <si>
    <t xml:space="preserve">CMA</t>
  </si>
  <si>
    <t xml:space="preserve">CMA Val-d'Oise</t>
  </si>
  <si>
    <t xml:space="preserve">eco@cma95.fr</t>
  </si>
  <si>
    <t xml:space="preserve">Check-list artisans</t>
  </si>
  <si>
    <t xml:space="preserve">Facture électronique 2027 : une check-list gratuite pour les artisans</t>
  </si>
  <si>
    <t xml:space="preserve">23/10 : rebond, message bloqué par le serveur de CMA Val-d'Oise. Pas de relance.</t>
  </si>
  <si>
    <t xml:space="preserve">CMA Auvergne-Rhône-Alpes</t>
  </si>
  <si>
    <t xml:space="preserve">Auvergne-Rhône-Alpes</t>
  </si>
  <si>
    <t xml:space="preserve">contact@crma-auvergnerhonealpes.fr</t>
  </si>
  <si>
    <t xml:space="preserve">Tiers, 2018 : peut être obsolète</t>
  </si>
  <si>
    <t xml:space="preserve">23/10 : réponse automatique, l'adresse n'est plus suivie : contacter la CMA départementale. Relance prévue le 28/10/2026.</t>
  </si>
  <si>
    <t xml:space="preserve">CMA Côte-d'Or</t>
  </si>
  <si>
    <t xml:space="preserve">Bourgogne-Franche-Comté</t>
  </si>
  <si>
    <t xml:space="preserve">accueil-s21@artisanat-bfc.fr</t>
  </si>
  <si>
    <t xml:space="preserve">CMA Morbihan</t>
  </si>
  <si>
    <t xml:space="preserve">accueil@cma-morbihan.fr</t>
  </si>
  <si>
    <t xml:space="preserve">CMA Loiret</t>
  </si>
  <si>
    <t xml:space="preserve">Centre-Val de Loire</t>
  </si>
  <si>
    <t xml:space="preserve">contact@cma45.fr</t>
  </si>
  <si>
    <t xml:space="preserve">Brouillon prêt</t>
  </si>
  <si>
    <t xml:space="preserve">Envoi conseillé : jour 6</t>
  </si>
  <si>
    <t xml:space="preserve">CMA Alsace</t>
  </si>
  <si>
    <t xml:space="preserve">Grand Est</t>
  </si>
  <si>
    <t xml:space="preserve">cma@cm-alsace.fr</t>
  </si>
  <si>
    <t xml:space="preserve">Tiers (strasbourg-europe.eu)</t>
  </si>
  <si>
    <t xml:space="preserve">CMA Hauts-de-France</t>
  </si>
  <si>
    <t xml:space="preserve">contact@cma-hautsdefrance.fr</t>
  </si>
  <si>
    <t xml:space="preserve">CMA Charente</t>
  </si>
  <si>
    <t xml:space="preserve">16-eco@cma-nouvelleaquitaine.fr</t>
  </si>
  <si>
    <t xml:space="preserve">Tiers (document de commune)</t>
  </si>
  <si>
    <t xml:space="preserve">CMA Vienne</t>
  </si>
  <si>
    <t xml:space="preserve">86-cma-info@cma-nouvelleaquitaine.fr</t>
  </si>
  <si>
    <t xml:space="preserve">Tiers (lavienne86.fr)</t>
  </si>
  <si>
    <t xml:space="preserve">CMA Loire-Atlantique</t>
  </si>
  <si>
    <t xml:space="preserve">entreprises44@cma-paysdelaloire.fr</t>
  </si>
  <si>
    <t xml:space="preserve">Officiel, à revérifier</t>
  </si>
  <si>
    <t xml:space="preserve">CMA Alpes-Maritimes</t>
  </si>
  <si>
    <t xml:space="preserve">PACA</t>
  </si>
  <si>
    <t xml:space="preserve">contact06@cmar-paca.fr</t>
  </si>
  <si>
    <t xml:space="preserve">Réseau</t>
  </si>
  <si>
    <t xml:space="preserve">BGE Réseau (national)</t>
  </si>
  <si>
    <t xml:space="preserve">accueil@bge.asso.fr</t>
  </si>
  <si>
    <t xml:space="preserve">Officiel (bge.asso.fr, 2024)</t>
  </si>
  <si>
    <t xml:space="preserve">Simulateurs + check-list</t>
  </si>
  <si>
    <t xml:space="preserve">Des outils gratuits pour les entrepreneurs que vous accompagnez</t>
  </si>
  <si>
    <t xml:space="preserve">Réponse auto 19/10 : boîte plus relevée. Pas de relance. Viser les BGE régionales.</t>
  </si>
  <si>
    <t xml:space="preserve">CCI Réunion (conseil entreprise)</t>
  </si>
  <si>
    <t xml:space="preserve">La Réunion</t>
  </si>
  <si>
    <t xml:space="preserve">conseilentreprise@reunion.cci.fr</t>
  </si>
  <si>
    <t xml:space="preserve">Officiel (page d’environ 5 ans)</t>
  </si>
  <si>
    <t xml:space="preserve">CCI Loiret</t>
  </si>
  <si>
    <t xml:space="preserve">entreprendre@loiret.cci.fr</t>
  </si>
  <si>
    <t xml:space="preserve">Officiel (centre.cci.fr)</t>
  </si>
  <si>
    <t xml:space="preserve">CCI Cher, Espace Entreprendre</t>
  </si>
  <si>
    <t xml:space="preserve">espace-entreprendre@cher.cci.fr</t>
  </si>
  <si>
    <t xml:space="preserve">CCI Indre</t>
  </si>
  <si>
    <t xml:space="preserve">entreprendre@indre.cci.fr</t>
  </si>
  <si>
    <t xml:space="preserve">CCI Loir-et-Cher</t>
  </si>
  <si>
    <t xml:space="preserve">entreprendre@41.cci.fr</t>
  </si>
  <si>
    <t xml:space="preserve">CCI Vendée, Espace Création</t>
  </si>
  <si>
    <t xml:space="preserve">espace.creation@vendee.cci.fr</t>
  </si>
  <si>
    <t xml:space="preserve">Officiel (paysdelaloire.cci.fr)</t>
  </si>
  <si>
    <t xml:space="preserve">CCI Tarn</t>
  </si>
  <si>
    <t xml:space="preserve">Occitanie</t>
  </si>
  <si>
    <t xml:space="preserve">monprojetaveclacci@tarn.cci.fr</t>
  </si>
  <si>
    <t xml:space="preserve">Officiel (tarn.cci.fr)</t>
  </si>
  <si>
    <t xml:space="preserve">CCI Alpes-de-Haute-Provence</t>
  </si>
  <si>
    <t xml:space="preserve">creation@digne.cci.fr</t>
  </si>
  <si>
    <t xml:space="preserve">Officiel (digne.cci.fr)</t>
  </si>
  <si>
    <t xml:space="preserve">CCI Métropole de Bourgogne, Espace Entreprendre</t>
  </si>
  <si>
    <t xml:space="preserve">espace.entreprendre@mdb.cci.fr</t>
  </si>
  <si>
    <t xml:space="preserve">Officiel (metropoledebourgogne.cci.fr)</t>
  </si>
  <si>
    <t xml:space="preserve">CCI Lyon Métropole</t>
  </si>
  <si>
    <t xml:space="preserve">infos@lyon-metropole.cci.fr</t>
  </si>
  <si>
    <t xml:space="preserve">Officiel (contact général)</t>
  </si>
  <si>
    <t xml:space="preserve">CCI PACA</t>
  </si>
  <si>
    <t xml:space="preserve">information@paca.cci.fr</t>
  </si>
  <si>
    <t xml:space="preserve">CMA Pyrénées-Orientales</t>
  </si>
  <si>
    <t xml:space="preserve">contact@cma66.fr</t>
  </si>
  <si>
    <t xml:space="preserve">Officiel (annuaire service-public.gouv.fr)</t>
  </si>
  <si>
    <t xml:space="preserve">CMA Val-de-Marne</t>
  </si>
  <si>
    <t xml:space="preserve">contact@cma94.com</t>
  </si>
  <si>
    <t xml:space="preserve">CMA Île-de-France, Paris</t>
  </si>
  <si>
    <t xml:space="preserve">contact@cma-paris.fr</t>
  </si>
  <si>
    <t xml:space="preserve">Officiel (cma-idf.fr)</t>
  </si>
  <si>
    <t xml:space="preserve">Refus</t>
  </si>
  <si>
    <t xml:space="preserve">20/10 : réponse STOP de contact.75@cma-idf.fr. Plus aucun mail.</t>
  </si>
  <si>
    <t xml:space="preserve">CMA Rhône</t>
  </si>
  <si>
    <t xml:space="preserve">contact@cma-auvergnerhonealpes.fr</t>
  </si>
  <si>
    <t xml:space="preserve">CMA Grand Est (Metz)</t>
  </si>
  <si>
    <t xml:space="preserve">contact@cma-grand-est.com</t>
  </si>
  <si>
    <t xml:space="preserve">Officiel (cma-alsace-moselle-grandest.fr)</t>
  </si>
  <si>
    <t xml:space="preserve">20/10 : rebond, domaine cma-grand-est.com introuvable. Pas de relance.</t>
  </si>
  <si>
    <t xml:space="preserve">CMA Bouches-du-Rhône</t>
  </si>
  <si>
    <t xml:space="preserve">contact13@cmar-paca.fr</t>
  </si>
  <si>
    <t xml:space="preserve">CMA Sarthe</t>
  </si>
  <si>
    <t xml:space="preserve">contact72@cma-paysdelaloire.fr</t>
  </si>
  <si>
    <t xml:space="preserve">Relance prévue le 27/10/2026</t>
  </si>
  <si>
    <t xml:space="preserve">CMA Hérault</t>
  </si>
  <si>
    <t xml:space="preserve">cma34@cma-herault.fr</t>
  </si>
  <si>
    <t xml:space="preserve">CMA Gironde</t>
  </si>
  <si>
    <t xml:space="preserve">bonjour@cma-nouvelle-aquitaine.fr</t>
  </si>
  <si>
    <t xml:space="preserve">Officiel, mais domaine différent de cma-nouvelleaquitaine.fr : à surveiller</t>
  </si>
  <si>
    <t xml:space="preserve">Initiative</t>
  </si>
  <si>
    <t xml:space="preserve">Initiative Sarthe</t>
  </si>
  <si>
    <t xml:space="preserve">contact@initiative-sarthe.fr</t>
  </si>
  <si>
    <t xml:space="preserve">Tiers (les-aides.fr)</t>
  </si>
  <si>
    <t xml:space="preserve">Des outils gratuits pour les créateurs que vous accompagnez</t>
  </si>
  <si>
    <t xml:space="preserve">Initiative Orne</t>
  </si>
  <si>
    <t xml:space="preserve">contact@initiative-orne.com</t>
  </si>
  <si>
    <t xml:space="preserve">Officiel (plaquette)</t>
  </si>
  <si>
    <t xml:space="preserve">21/10 : rebond, domaine initiative-orne.com introuvable. Pas de relance.</t>
  </si>
  <si>
    <t xml:space="preserve">Initiative Genevois</t>
  </si>
  <si>
    <t xml:space="preserve">contact@initiative-genevois.fr</t>
  </si>
  <si>
    <t xml:space="preserve">Initiative Rouen</t>
  </si>
  <si>
    <t xml:space="preserve">rouen-initiative@rouen.cci.fr</t>
  </si>
  <si>
    <t xml:space="preserve">Initiative Sud Grésivaudan Royans Vercors</t>
  </si>
  <si>
    <t xml:space="preserve">contact@initiative-sgrv.fr</t>
  </si>
  <si>
    <t xml:space="preserve">Initiative Alpes-de-Haute-Provence</t>
  </si>
  <si>
    <t xml:space="preserve">contact@initiative-alpesdehauteprovence.com</t>
  </si>
  <si>
    <t xml:space="preserve">Initiative Calvados</t>
  </si>
  <si>
    <t xml:space="preserve">contact@initiative-calvados.fr</t>
  </si>
  <si>
    <t xml:space="preserve">Tiers (le site n’affiche qu’un formulaire)</t>
  </si>
  <si>
    <t xml:space="preserve">Initiative Var</t>
  </si>
  <si>
    <t xml:space="preserve">info@initiative-var.fr</t>
  </si>
  <si>
    <t xml:space="preserve">Officiel (initiative-var.fr)</t>
  </si>
  <si>
    <t xml:space="preserve">Initiative Terres de Vaucluse</t>
  </si>
  <si>
    <t xml:space="preserve">contact@initiativeterresdevaucluse.fr</t>
  </si>
  <si>
    <t xml:space="preserve">Officiel (site de la plateforme)</t>
  </si>
  <si>
    <t xml:space="preserve">Initiative Vallée de la Drôme Diois</t>
  </si>
  <si>
    <t xml:space="preserve">contact@initiative-valleedeladromediois.fr</t>
  </si>
  <si>
    <t xml:space="preserve">Tiers (liste ancienne)</t>
  </si>
  <si>
    <t xml:space="preserve">Envoi conseillé : jour 7</t>
  </si>
  <si>
    <t xml:space="preserve">Réseau Entreprendre</t>
  </si>
  <si>
    <t xml:space="preserve">Réseau Entreprendre (fédération)</t>
  </si>
  <si>
    <t xml:space="preserve">reseau@reseau-entreprendre.org</t>
  </si>
  <si>
    <t xml:space="preserve">Officiel (rapport financier 2024)</t>
  </si>
  <si>
    <t xml:space="preserve">Des ressources gratuites pour les dirigeants que vous accompagnez</t>
  </si>
  <si>
    <t xml:space="preserve">21/10 : rebond, message bloqué par le serveur de Réseau Entreprendre. Pas de relance.</t>
  </si>
  <si>
    <t xml:space="preserve">Réseau Entreprendre Lorraine</t>
  </si>
  <si>
    <t xml:space="preserve">lorraine@reseau-entreprendre.org</t>
  </si>
  <si>
    <t xml:space="preserve">Officiel (page contact)</t>
  </si>
  <si>
    <t xml:space="preserve">Réseau Entreprendre Val-de-Marne</t>
  </si>
  <si>
    <t xml:space="preserve">valdemarne@reseau-entreprendre.org</t>
  </si>
  <si>
    <t xml:space="preserve">Réseau Entreprendre Aquitaine</t>
  </si>
  <si>
    <t xml:space="preserve">aquitaine@reseau-entreprendre.org</t>
  </si>
  <si>
    <t xml:space="preserve">Réseau Entreprendre Yvelines</t>
  </si>
  <si>
    <t xml:space="preserve">yvelines@reseau-entreprendre.org</t>
  </si>
  <si>
    <t xml:space="preserve">Réseau Entreprendre Rhône-Durance</t>
  </si>
  <si>
    <t xml:space="preserve">rhone-durance@reseau-entreprendre.org</t>
  </si>
  <si>
    <t xml:space="preserve">Réseau Entreprendre Loire</t>
  </si>
  <si>
    <t xml:space="preserve">loire@reseau-entreprendre.org</t>
  </si>
  <si>
    <t xml:space="preserve">Réseau Entreprendre Atlantique</t>
  </si>
  <si>
    <t xml:space="preserve">atlantique@reseau-entreprendre.org</t>
  </si>
  <si>
    <t xml:space="preserve">Tiers (document de 2019)</t>
  </si>
  <si>
    <t xml:space="preserve">Couveuse / CAE</t>
  </si>
  <si>
    <t xml:space="preserve">Union des couveuses d’entreprises</t>
  </si>
  <si>
    <t xml:space="preserve">contact@uniondescouveuses.com</t>
  </si>
  <si>
    <t xml:space="preserve">Officiel (jetestemonentreprise.com)</t>
  </si>
  <si>
    <t xml:space="preserve">Calculateur TJM + check-list</t>
  </si>
  <si>
    <t xml:space="preserve">Un calculateur de TJM gratuit pour les entrepreneurs à l’essai</t>
  </si>
  <si>
    <t xml:space="preserve">22/10 : filtre anti-spam Mailinblack, expéditeur validé le 23/10, message délivré. Relance prévue le 27/10/2026.</t>
  </si>
  <si>
    <t xml:space="preserve">Coopérer pour entreprendre</t>
  </si>
  <si>
    <t xml:space="preserve">info@cooperer.coop</t>
  </si>
  <si>
    <t xml:space="preserve">Tiers (annuaire Avise)</t>
  </si>
  <si>
    <t xml:space="preserve">Un calculateur de TJM gratuit pour les entrepreneurs-salariés</t>
  </si>
  <si>
    <t xml:space="preserve">Coopérer pour entreprendre Bretagne</t>
  </si>
  <si>
    <t xml:space="preserve">bretagne@cooperer.coop</t>
  </si>
  <si>
    <t xml:space="preserve">Tiers (ess-bretagne.org)</t>
  </si>
  <si>
    <t xml:space="preserve">Fédération des CAE</t>
  </si>
  <si>
    <t xml:space="preserve">les-cae@scop.coop</t>
  </si>
  <si>
    <t xml:space="preserve">Tiers (ambition-ess.org)</t>
  </si>
  <si>
    <t xml:space="preserve">URSCOP Nouvelle-Aquitaine</t>
  </si>
  <si>
    <t xml:space="preserve">urnouvelleaquitaine@scop.coop</t>
  </si>
  <si>
    <t xml:space="preserve">Officiel (les-scop-nouvelle-aquitaine.coop)</t>
  </si>
  <si>
    <t xml:space="preserve">Check-list + TJM</t>
  </si>
  <si>
    <t xml:space="preserve">Facture électronique 2027 : une check-list gratuite pour les CAE</t>
  </si>
  <si>
    <t xml:space="preserve">Cabestan (CAE)</t>
  </si>
  <si>
    <t xml:space="preserve">contact@cabestan.fr</t>
  </si>
  <si>
    <t xml:space="preserve">Tiers (plaquette)</t>
  </si>
  <si>
    <t xml:space="preserve">CoopConnexion (CAE)</t>
  </si>
  <si>
    <t xml:space="preserve">contact@coopconnexion.fr</t>
  </si>
  <si>
    <t xml:space="preserve">Officiel (coopconnexion.fr)</t>
  </si>
  <si>
    <t xml:space="preserve">Coopetic (CAE)</t>
  </si>
  <si>
    <t xml:space="preserve">contact@coopetic.coop</t>
  </si>
  <si>
    <t xml:space="preserve">Officiel (coopetic.coop)</t>
  </si>
  <si>
    <t xml:space="preserve">Coopilote (CAE)</t>
  </si>
  <si>
    <t xml:space="preserve">administratif@coopilote.com</t>
  </si>
  <si>
    <t xml:space="preserve">Officiel (coopilote.com), adresse administrative</t>
  </si>
  <si>
    <t xml:space="preserve">Facture électronique 2027 : une check-list gratuite pour vos entrepreneurs</t>
  </si>
  <si>
    <t xml:space="preserve">Le Comptoir des Entrepreneurs (CAE)</t>
  </si>
  <si>
    <t xml:space="preserve">contact@lecomptoirdesentrepreneurs.fr</t>
  </si>
  <si>
    <t xml:space="preserve">Tiers (fiche les-scop.coop)</t>
  </si>
  <si>
    <t xml:space="preserve">Coopenates (CAE)</t>
  </si>
  <si>
    <t xml:space="preserve">contact@coopenates.com</t>
  </si>
  <si>
    <t xml:space="preserve">Tiers (fiche les-cae.coop)</t>
  </si>
  <si>
    <t xml:space="preserve">Widoobiz</t>
  </si>
  <si>
    <t xml:space="preserve">redaction@widoobiz.com</t>
  </si>
  <si>
    <t xml:space="preserve">Officiel (page d’environ 6 ans)</t>
  </si>
  <si>
    <t xml:space="preserve">Baromètre des prix + TJM</t>
  </si>
  <si>
    <t xml:space="preserve">22/10 : rebond, message bloqué par le serveur de Widoobiz. Pas de relance.</t>
  </si>
  <si>
    <t xml:space="preserve">Le Journal des Entreprises</t>
  </si>
  <si>
    <t xml:space="preserve">redacweb@lejournaldesentreprises.com</t>
  </si>
  <si>
    <t xml:space="preserve">Tiers (leadiq.com), non confirmée</t>
  </si>
  <si>
    <t xml:space="preserve">Check-list + baromètre</t>
  </si>
  <si>
    <t xml:space="preserve">Facture électronique 2027 : une check-list gratuite pour les TPE</t>
  </si>
  <si>
    <t xml:space="preserve">Espace Auto-Entrepreneur</t>
  </si>
  <si>
    <t xml:space="preserve">contact@espace-autoentrepreneur.com</t>
  </si>
  <si>
    <t xml:space="preserve">Officiel (page presse)</t>
  </si>
  <si>
    <t xml:space="preserve">Des simulateurs gratuits pour vos lecteurs auto-entrepreneurs</t>
  </si>
  <si>
    <t xml:space="preserve">22/10 : accusé de réception automatique (demande 487253). Relance prévue le 27/10/2026.</t>
  </si>
  <si>
    <t xml:space="preserve">Le Courrier des Entreprises</t>
  </si>
  <si>
    <t xml:space="preserve">contact@lecourrierdesentreprises.fr</t>
  </si>
  <si>
    <t xml:space="preserve">Officiel (site)</t>
  </si>
  <si>
    <t xml:space="preserve">SDI (Syndicat des indépendants et TPE)</t>
  </si>
  <si>
    <t xml:space="preserve">contact@sdi-pme.fr</t>
  </si>
  <si>
    <t xml:space="preserve">Facture électronique 2027 : une check-list gratuite pour vos adhérents</t>
  </si>
  <si>
    <t xml:space="preserve">UNION-Indépendants</t>
  </si>
  <si>
    <t xml:space="preserve">contact@union-independants.fr</t>
  </si>
  <si>
    <t xml:space="preserve">Officiel (arpe.gouv.fr)</t>
  </si>
  <si>
    <t xml:space="preserve">Un calculateur de TJM gratuit pour les indépendants</t>
  </si>
  <si>
    <t xml:space="preserve">PEPS (portage salarial)</t>
  </si>
  <si>
    <t xml:space="preserve">presse@peps-syndicat.fr</t>
  </si>
  <si>
    <t xml:space="preserve">Officiel (peps-syndicat.fr)</t>
  </si>
  <si>
    <t xml:space="preserve">Calculateur TJM + baromètre</t>
  </si>
  <si>
    <t xml:space="preserve">Un calculateur de TJM gratuit pour les consultants indépendants</t>
  </si>
  <si>
    <t xml:space="preserve">Association</t>
  </si>
  <si>
    <t xml:space="preserve">60 000 rebonds</t>
  </si>
  <si>
    <t xml:space="preserve">contact@60000rebonds.com</t>
  </si>
  <si>
    <t xml:space="preserve">Officiel (variante en .fr ailleurs)</t>
  </si>
  <si>
    <t xml:space="preserve">Des simulateurs gratuits pour les entrepreneurs qui rebondissent</t>
  </si>
  <si>
    <t xml:space="preserve">60 000 rebonds Bourgogne-Franche-Comté</t>
  </si>
  <si>
    <t xml:space="preserve">bfc@60000rebonds.com</t>
  </si>
  <si>
    <t xml:space="preserve">Officiel (page régionale)</t>
  </si>
  <si>
    <t xml:space="preserve">Moovjee (mentorat)</t>
  </si>
  <si>
    <t xml:space="preserve">moovjee@twoo-mentorat.fr</t>
  </si>
  <si>
    <t xml:space="preserve">Officiel (moovjee.fr)</t>
  </si>
  <si>
    <t xml:space="preserve">Simulateurs + TJM</t>
  </si>
  <si>
    <t xml:space="preserve">Des outils gratuits pour les jeunes entrepreneurs que vous accompagnez</t>
  </si>
  <si>
    <t xml:space="preserve">Ordre des experts-comptables Paris IDF</t>
  </si>
  <si>
    <t xml:space="preserve">contact@oec-paris.fr</t>
  </si>
  <si>
    <t xml:space="preserve">Check-list facture électronique</t>
  </si>
  <si>
    <t xml:space="preserve">Facture électronique 2027 : une check-list gratuite pour les clients TPE des cabinets</t>
  </si>
  <si>
    <t xml:space="preserve">23/10 : réponse automatique de l'Ordre (attestations, espace pro). Relance prévue le 28/10/2026.</t>
  </si>
  <si>
    <t xml:space="preserve">ECF (syndicat des experts-comptables)</t>
  </si>
  <si>
    <t xml:space="preserve">contact@e-c-f.fr</t>
  </si>
  <si>
    <t xml:space="preserve">Officiel (page Facebook)</t>
  </si>
  <si>
    <t xml:space="preserve">Envoi conseillé : jour 5</t>
  </si>
  <si>
    <t xml:space="preserve">BGE Hauts-de-France</t>
  </si>
  <si>
    <t xml:space="preserve">contact@bge-hautsdefrance.fr</t>
  </si>
  <si>
    <t xml:space="preserve">Officiel (site BGE, extrait de recherche), doc 2019</t>
  </si>
  <si>
    <t xml:space="preserve">BGE Picardie</t>
  </si>
  <si>
    <t xml:space="preserve">contact@bge-picardie.org</t>
  </si>
  <si>
    <t xml:space="preserve">Officiel (site BGE, extrait de recherche)</t>
  </si>
  <si>
    <t xml:space="preserve">BGE PaRIF</t>
  </si>
  <si>
    <t xml:space="preserve">contact@bge-parif.com</t>
  </si>
  <si>
    <t xml:space="preserve">Tiers (flyer Versailles Grand Parc, 2021)</t>
  </si>
  <si>
    <t xml:space="preserve">BGE Flandre Création</t>
  </si>
  <si>
    <t xml:space="preserve">contact@bge-flandrecreation.fr</t>
  </si>
  <si>
    <t xml:space="preserve">Tiers (dossier Agefice, 2019)</t>
  </si>
  <si>
    <t xml:space="preserve">BGE Auvergne</t>
  </si>
  <si>
    <t xml:space="preserve">contact@bgeauvergne.fr</t>
  </si>
  <si>
    <t xml:space="preserve">Tiers (proposition Agefice, 2019)</t>
  </si>
  <si>
    <t xml:space="preserve">Envoi conseillé : jour 8</t>
  </si>
  <si>
    <t xml:space="preserve">BGE Côtes-d’Armor</t>
  </si>
  <si>
    <t xml:space="preserve">contact@bge22.fr</t>
  </si>
  <si>
    <t xml:space="preserve">Tiers (catalogue BGE Bretagne, 2018)</t>
  </si>
  <si>
    <t xml:space="preserve">BGE Ille-et-Vilaine</t>
  </si>
  <si>
    <t xml:space="preserve">contact@bge35.com</t>
  </si>
  <si>
    <t xml:space="preserve">BGE Morbihan</t>
  </si>
  <si>
    <t xml:space="preserve">contact@bge-morbihan.com</t>
  </si>
  <si>
    <t xml:space="preserve">Tableau de bord de la prospection</t>
  </si>
  <si>
    <t xml:space="preserve">Contacts avec adresse</t>
  </si>
  <si>
    <t xml:space="preserve">Brouillons prêts</t>
  </si>
  <si>
    <t xml:space="preserve">Envoyés (y compris relancés, répondus, liens)</t>
  </si>
  <si>
    <t xml:space="preserve">Relancés</t>
  </si>
  <si>
    <t xml:space="preserve">Réponses reçues</t>
  </si>
  <si>
    <t xml:space="preserve">Liens obtenus</t>
  </si>
  <si>
    <t xml:space="preserve">Adresses invalides (rebonds)</t>
  </si>
  <si>
    <t xml:space="preserve">Taux de réponse</t>
  </si>
  <si>
    <t xml:space="preserve">Taux d'obtention de lien</t>
  </si>
  <si>
    <t xml:space="preserve">Relances dues aujourd'hui</t>
  </si>
  <si>
    <t xml:space="preserve">Repères habituels : 5 à 15 % de réponses, quelques liens pour 50 envois.</t>
  </si>
  <si>
    <t xml:space="preserve">Par catégorie</t>
  </si>
  <si>
    <t xml:space="preserve">Contacts</t>
  </si>
  <si>
    <t xml:space="preserve">Envoyés</t>
  </si>
  <si>
    <t xml:space="preserve">Liens</t>
  </si>
  <si>
    <t xml:space="preserve">Total</t>
  </si>
  <si>
    <t xml:space="preserve">Mode d'emploi du suivi</t>
  </si>
  <si>
    <t xml:space="preserve">Cellules à remplir : les colonnes sur fond jaune clair de l'onglet Suivi (Statut, dates, Réponse, Lien, Notes).</t>
  </si>
  <si>
    <t xml:space="preserve">Les brouillons correspondants sont dans Gmail (compte logimalin@gmail.com), dossier Brouillons, avec le même objet.</t>
  </si>
  <si>
    <t xml:space="preserve">1. Le jour de l'envoi : envoie le brouillon, puis passe le Statut à « Envoyé » et saisis la Date d'envoi.</t>
  </si>
  <si>
    <t xml:space="preserve">2. La colonne « Relance prévue » se calcule seule (J+5) et devient orange quand la relance est due.</t>
  </si>
  <si>
    <t xml:space="preserve">3. Relance une seule fois, en deux lignes, puis passe le Statut à « Relancé » et saisis la Date de relance.</t>
  </si>
  <si>
    <t xml:space="preserve">4. À la réponse : Réponse = Oui. Si un lien vers le site est publié, Statut = « Lien obtenu » et colle l'URL.</t>
  </si>
  <si>
    <t xml:space="preserve">5. Mail revenu en erreur : Statut = « Adresse invalide », et cherche la page contact du site.</t>
  </si>
  <si>
    <t xml:space="preserve">Règles d'envoi : 10 à 15 mails par jour au maximum, un destinataire par mail (jamais de copie groupée),</t>
  </si>
  <si>
    <t xml:space="preserve">une seule relance, et toujours la ligne « répondez STOP » pour se désinscrire.</t>
  </si>
  <si>
    <t xml:space="preserve">Fiabilité des adresses : « Tiers » = trouvée dans un annuaire ou un document externe, à vérifier si le mail revient.</t>
  </si>
  <si>
    <t xml:space="preserve">Colonne Notes : « Envoi conseillé : jour N » répartit les envois à 13 par jour, adresses officielles d'abord.</t>
  </si>
  <si>
    <t xml:space="preserve">Lignes vides en bas de l'onglet Suivi : prêtes pour les nouveaux contacts.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</si>
</sst>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FF8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8D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8A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6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8A8"/>
      <rgbColor rgb="FF2563E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3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6" min="5" style="1" width="34"/>
    <col collapsed="false" customWidth="true" hidden="false" outlineLevel="0" max="7" min="7" style="1" width="20"/>
    <col collapsed="false" customWidth="true" hidden="false" outlineLevel="0" max="8" min="8" style="1" width="46"/>
    <col collapsed="false" customWidth="true" hidden="false" outlineLevel="0" max="9" min="9" style="1" width="15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5" min="14" style="1" width="30"/>
  </cols>
  <sheetData>
    <row r="1" customFormat="false" ht="39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3.25" hidden="false" customHeight="true" outlineLevel="0" collapsed="false">
      <c r="A2" s="3" t="n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4" t="s">
        <v>22</v>
      </c>
      <c r="J2" s="5" t="n">
        <v>46314</v>
      </c>
      <c r="K2" s="6" t="n">
        <f aca="false">IF(J2="","",WORKDAY(J2+4,1))</f>
        <v>46321</v>
      </c>
      <c r="L2" s="5" t="n">
        <v>46321</v>
      </c>
      <c r="M2" s="4"/>
      <c r="N2" s="4"/>
      <c r="O2" s="4" t="s">
        <v>22</v>
      </c>
    </row>
    <row r="3" customFormat="false" ht="23.25" hidden="false" customHeight="true" outlineLevel="0" collapsed="false">
      <c r="A3" s="3" t="n">
        <v>2</v>
      </c>
      <c r="B3" s="3" t="s">
        <v>15</v>
      </c>
      <c r="C3" s="3" t="s">
        <v>23</v>
      </c>
      <c r="D3" s="3" t="s">
        <v>17</v>
      </c>
      <c r="E3" s="3" t="s">
        <v>24</v>
      </c>
      <c r="F3" s="3" t="s">
        <v>25</v>
      </c>
      <c r="G3" s="3" t="s">
        <v>20</v>
      </c>
      <c r="H3" s="3" t="s">
        <v>26</v>
      </c>
      <c r="I3" s="4" t="s">
        <v>27</v>
      </c>
      <c r="J3" s="5" t="n">
        <v>46314</v>
      </c>
      <c r="K3" s="6" t="n">
        <f aca="false">IF(J3="","",WORKDAY(J3+4,1))</f>
        <v>46321</v>
      </c>
      <c r="L3" s="5"/>
      <c r="M3" s="4" t="s">
        <v>28</v>
      </c>
      <c r="N3" s="4"/>
      <c r="O3" s="4" t="s">
        <v>29</v>
      </c>
    </row>
    <row r="4" customFormat="false" ht="23.25" hidden="false" customHeight="true" outlineLevel="0" collapsed="false">
      <c r="A4" s="3" t="n">
        <v>3</v>
      </c>
      <c r="B4" s="3" t="s">
        <v>15</v>
      </c>
      <c r="C4" s="3" t="s">
        <v>30</v>
      </c>
      <c r="D4" s="3" t="s">
        <v>17</v>
      </c>
      <c r="E4" s="3" t="s">
        <v>31</v>
      </c>
      <c r="F4" s="3" t="s">
        <v>32</v>
      </c>
      <c r="G4" s="3" t="s">
        <v>33</v>
      </c>
      <c r="H4" s="3" t="s">
        <v>34</v>
      </c>
      <c r="I4" s="4" t="s">
        <v>22</v>
      </c>
      <c r="J4" s="5" t="n">
        <v>46314</v>
      </c>
      <c r="K4" s="6" t="n">
        <f aca="false">IF(J4="","",WORKDAY(J4+4,1))</f>
        <v>46321</v>
      </c>
      <c r="L4" s="5" t="n">
        <v>46321</v>
      </c>
      <c r="M4" s="4"/>
      <c r="N4" s="4"/>
      <c r="O4" s="4" t="s">
        <v>22</v>
      </c>
    </row>
    <row r="5" customFormat="false" ht="23.25" hidden="false" customHeight="true" outlineLevel="0" collapsed="false">
      <c r="A5" s="3" t="n">
        <v>4</v>
      </c>
      <c r="B5" s="3" t="s">
        <v>15</v>
      </c>
      <c r="C5" s="3" t="s">
        <v>35</v>
      </c>
      <c r="D5" s="3" t="s">
        <v>17</v>
      </c>
      <c r="E5" s="3" t="s">
        <v>36</v>
      </c>
      <c r="F5" s="3" t="s">
        <v>32</v>
      </c>
      <c r="G5" s="3" t="s">
        <v>37</v>
      </c>
      <c r="H5" s="3" t="s">
        <v>38</v>
      </c>
      <c r="I5" s="4" t="s">
        <v>22</v>
      </c>
      <c r="J5" s="5" t="n">
        <v>46314</v>
      </c>
      <c r="K5" s="6" t="n">
        <f aca="false">IF(J5="","",WORKDAY(J5+4,1))</f>
        <v>46321</v>
      </c>
      <c r="L5" s="5" t="n">
        <v>46321</v>
      </c>
      <c r="M5" s="4"/>
      <c r="N5" s="4"/>
      <c r="O5" s="4" t="s">
        <v>22</v>
      </c>
    </row>
    <row r="6" customFormat="false" ht="23.25" hidden="false" customHeight="true" outlineLevel="0" collapsed="false">
      <c r="A6" s="3" t="n">
        <v>5</v>
      </c>
      <c r="B6" s="3" t="s">
        <v>15</v>
      </c>
      <c r="C6" s="3" t="s">
        <v>39</v>
      </c>
      <c r="D6" s="3" t="s">
        <v>17</v>
      </c>
      <c r="E6" s="3" t="s">
        <v>40</v>
      </c>
      <c r="F6" s="3" t="s">
        <v>32</v>
      </c>
      <c r="G6" s="3" t="s">
        <v>41</v>
      </c>
      <c r="H6" s="3" t="s">
        <v>42</v>
      </c>
      <c r="I6" s="4" t="s">
        <v>22</v>
      </c>
      <c r="J6" s="5" t="n">
        <v>46314</v>
      </c>
      <c r="K6" s="6" t="n">
        <f aca="false">IF(J6="","",WORKDAY(J6+4,1))</f>
        <v>46321</v>
      </c>
      <c r="L6" s="5" t="n">
        <v>46321</v>
      </c>
      <c r="M6" s="4"/>
      <c r="N6" s="4"/>
      <c r="O6" s="4" t="s">
        <v>22</v>
      </c>
    </row>
    <row r="7" customFormat="false" ht="23.25" hidden="false" customHeight="true" outlineLevel="0" collapsed="false">
      <c r="A7" s="3" t="n">
        <v>6</v>
      </c>
      <c r="B7" s="3" t="s">
        <v>43</v>
      </c>
      <c r="C7" s="3" t="s">
        <v>44</v>
      </c>
      <c r="D7" s="3" t="s">
        <v>17</v>
      </c>
      <c r="E7" s="3" t="s">
        <v>45</v>
      </c>
      <c r="F7" s="3" t="s">
        <v>46</v>
      </c>
      <c r="G7" s="3" t="s">
        <v>47</v>
      </c>
      <c r="H7" s="3" t="s">
        <v>48</v>
      </c>
      <c r="I7" s="4" t="s">
        <v>49</v>
      </c>
      <c r="J7" s="5"/>
      <c r="K7" s="6" t="str">
        <f aca="false">IF(J7="","",WORKDAY(J7+4,1))</f>
        <v/>
      </c>
      <c r="L7" s="5"/>
      <c r="M7" s="4"/>
      <c r="N7" s="4"/>
      <c r="O7" s="4" t="s">
        <v>50</v>
      </c>
    </row>
    <row r="8" customFormat="false" ht="23.25" hidden="false" customHeight="true" outlineLevel="0" collapsed="false">
      <c r="A8" s="3" t="n">
        <v>7</v>
      </c>
      <c r="B8" s="3" t="s">
        <v>51</v>
      </c>
      <c r="C8" s="3" t="s">
        <v>52</v>
      </c>
      <c r="D8" s="3" t="s">
        <v>17</v>
      </c>
      <c r="E8" s="3" t="s">
        <v>53</v>
      </c>
      <c r="F8" s="3" t="s">
        <v>32</v>
      </c>
      <c r="G8" s="3" t="s">
        <v>54</v>
      </c>
      <c r="H8" s="3" t="s">
        <v>55</v>
      </c>
      <c r="I8" s="4" t="s">
        <v>22</v>
      </c>
      <c r="J8" s="5" t="n">
        <v>46314</v>
      </c>
      <c r="K8" s="6" t="n">
        <f aca="false">IF(J8="","",WORKDAY(J8+4,1))</f>
        <v>46321</v>
      </c>
      <c r="L8" s="5" t="n">
        <v>46321</v>
      </c>
      <c r="M8" s="4"/>
      <c r="N8" s="4"/>
      <c r="O8" s="4" t="s">
        <v>22</v>
      </c>
    </row>
    <row r="9" customFormat="false" ht="23.25" hidden="false" customHeight="true" outlineLevel="0" collapsed="false">
      <c r="A9" s="3" t="n">
        <v>8</v>
      </c>
      <c r="B9" s="3" t="s">
        <v>51</v>
      </c>
      <c r="C9" s="3" t="s">
        <v>56</v>
      </c>
      <c r="D9" s="3" t="s">
        <v>17</v>
      </c>
      <c r="E9" s="3" t="s">
        <v>57</v>
      </c>
      <c r="F9" s="3" t="s">
        <v>32</v>
      </c>
      <c r="G9" s="3" t="s">
        <v>54</v>
      </c>
      <c r="H9" s="3" t="s">
        <v>58</v>
      </c>
      <c r="I9" s="4" t="s">
        <v>22</v>
      </c>
      <c r="J9" s="5" t="n">
        <v>46314</v>
      </c>
      <c r="K9" s="6" t="n">
        <f aca="false">IF(J9="","",WORKDAY(J9+4,1))</f>
        <v>46321</v>
      </c>
      <c r="L9" s="5" t="n">
        <v>46321</v>
      </c>
      <c r="M9" s="4"/>
      <c r="N9" s="4"/>
      <c r="O9" s="4" t="s">
        <v>22</v>
      </c>
    </row>
    <row r="10" customFormat="false" ht="23.25" hidden="false" customHeight="true" outlineLevel="0" collapsed="false">
      <c r="A10" s="3" t="n">
        <v>9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64</v>
      </c>
      <c r="H10" s="3" t="s">
        <v>65</v>
      </c>
      <c r="I10" s="4" t="s">
        <v>66</v>
      </c>
      <c r="J10" s="5" t="n">
        <v>46318</v>
      </c>
      <c r="K10" s="6" t="n">
        <f aca="false">IF(J10="","",WORKDAY(J10+4,1))</f>
        <v>46323</v>
      </c>
      <c r="L10" s="5"/>
      <c r="M10" s="4"/>
      <c r="N10" s="4"/>
      <c r="O10" s="4" t="s">
        <v>67</v>
      </c>
    </row>
    <row r="11" customFormat="false" ht="23.25" hidden="false" customHeight="true" outlineLevel="0" collapsed="false">
      <c r="A11" s="3" t="n">
        <v>10</v>
      </c>
      <c r="B11" s="3" t="s">
        <v>59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64</v>
      </c>
      <c r="H11" s="3" t="s">
        <v>65</v>
      </c>
      <c r="I11" s="4" t="s">
        <v>22</v>
      </c>
      <c r="J11" s="5" t="n">
        <v>46314</v>
      </c>
      <c r="K11" s="6" t="n">
        <f aca="false">IF(J11="","",WORKDAY(J11+4,1))</f>
        <v>46321</v>
      </c>
      <c r="L11" s="5" t="n">
        <v>46321</v>
      </c>
      <c r="M11" s="4"/>
      <c r="N11" s="4"/>
      <c r="O11" s="4" t="s">
        <v>22</v>
      </c>
    </row>
    <row r="12" customFormat="false" ht="23.25" hidden="false" customHeight="true" outlineLevel="0" collapsed="false">
      <c r="A12" s="3" t="n">
        <v>11</v>
      </c>
      <c r="B12" s="3" t="s">
        <v>59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64</v>
      </c>
      <c r="H12" s="3" t="s">
        <v>65</v>
      </c>
      <c r="I12" s="4" t="s">
        <v>76</v>
      </c>
      <c r="J12" s="5" t="n">
        <v>46318</v>
      </c>
      <c r="K12" s="6" t="n">
        <f aca="false">IF(J12="","",WORKDAY(J12+4,1))</f>
        <v>46323</v>
      </c>
      <c r="L12" s="5"/>
      <c r="M12" s="4"/>
      <c r="N12" s="4"/>
      <c r="O12" s="4" t="s">
        <v>77</v>
      </c>
    </row>
    <row r="13" customFormat="false" ht="23.25" hidden="false" customHeight="true" outlineLevel="0" collapsed="false">
      <c r="A13" s="3" t="n">
        <v>12</v>
      </c>
      <c r="B13" s="3" t="s">
        <v>59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64</v>
      </c>
      <c r="H13" s="3" t="s">
        <v>65</v>
      </c>
      <c r="I13" s="4" t="s">
        <v>76</v>
      </c>
      <c r="J13" s="5" t="n">
        <v>46318</v>
      </c>
      <c r="K13" s="6" t="n">
        <f aca="false">IF(J13="","",WORKDAY(J13+4,1))</f>
        <v>46323</v>
      </c>
      <c r="L13" s="5"/>
      <c r="M13" s="4"/>
      <c r="N13" s="4"/>
      <c r="O13" s="4" t="s">
        <v>82</v>
      </c>
    </row>
    <row r="14" customFormat="false" ht="23.25" hidden="false" customHeight="true" outlineLevel="0" collapsed="false">
      <c r="A14" s="3" t="n">
        <v>13</v>
      </c>
      <c r="B14" s="3" t="s">
        <v>59</v>
      </c>
      <c r="C14" s="3" t="s">
        <v>83</v>
      </c>
      <c r="D14" s="3" t="s">
        <v>79</v>
      </c>
      <c r="E14" s="3" t="s">
        <v>84</v>
      </c>
      <c r="F14" s="3" t="s">
        <v>81</v>
      </c>
      <c r="G14" s="3" t="s">
        <v>64</v>
      </c>
      <c r="H14" s="3" t="s">
        <v>65</v>
      </c>
      <c r="I14" s="4" t="s">
        <v>66</v>
      </c>
      <c r="J14" s="5" t="n">
        <v>46318</v>
      </c>
      <c r="K14" s="6" t="n">
        <f aca="false">IF(J14="","",WORKDAY(J14+4,1))</f>
        <v>46323</v>
      </c>
      <c r="L14" s="5"/>
      <c r="M14" s="4"/>
      <c r="N14" s="4"/>
      <c r="O14" s="4" t="s">
        <v>67</v>
      </c>
    </row>
    <row r="15" customFormat="false" ht="23.25" hidden="false" customHeight="true" outlineLevel="0" collapsed="false">
      <c r="A15" s="3" t="n">
        <v>14</v>
      </c>
      <c r="B15" s="3" t="s">
        <v>59</v>
      </c>
      <c r="C15" s="3" t="s">
        <v>85</v>
      </c>
      <c r="D15" s="3" t="s">
        <v>86</v>
      </c>
      <c r="E15" s="3" t="s">
        <v>87</v>
      </c>
      <c r="F15" s="3" t="s">
        <v>81</v>
      </c>
      <c r="G15" s="3" t="s">
        <v>64</v>
      </c>
      <c r="H15" s="3" t="s">
        <v>65</v>
      </c>
      <c r="I15" s="4" t="s">
        <v>66</v>
      </c>
      <c r="J15" s="5" t="n">
        <v>46318</v>
      </c>
      <c r="K15" s="6" t="n">
        <f aca="false">IF(J15="","",WORKDAY(J15+4,1))</f>
        <v>46323</v>
      </c>
      <c r="L15" s="5"/>
      <c r="M15" s="4"/>
      <c r="N15" s="4"/>
      <c r="O15" s="4" t="s">
        <v>67</v>
      </c>
    </row>
    <row r="16" customFormat="false" ht="23.25" hidden="false" customHeight="true" outlineLevel="0" collapsed="false">
      <c r="A16" s="3" t="n">
        <v>15</v>
      </c>
      <c r="B16" s="3" t="s">
        <v>59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64</v>
      </c>
      <c r="H16" s="3" t="s">
        <v>65</v>
      </c>
      <c r="I16" s="4" t="s">
        <v>66</v>
      </c>
      <c r="J16" s="5" t="n">
        <v>46318</v>
      </c>
      <c r="K16" s="6" t="n">
        <f aca="false">IF(J16="","",WORKDAY(J16+4,1))</f>
        <v>46323</v>
      </c>
      <c r="L16" s="5"/>
      <c r="M16" s="4"/>
      <c r="N16" s="4"/>
      <c r="O16" s="4" t="s">
        <v>67</v>
      </c>
    </row>
    <row r="17" customFormat="false" ht="23.25" hidden="false" customHeight="true" outlineLevel="0" collapsed="false">
      <c r="A17" s="3" t="n">
        <v>16</v>
      </c>
      <c r="B17" s="3" t="s">
        <v>92</v>
      </c>
      <c r="C17" s="3" t="s">
        <v>93</v>
      </c>
      <c r="D17" s="3" t="s">
        <v>61</v>
      </c>
      <c r="E17" s="3" t="s">
        <v>94</v>
      </c>
      <c r="F17" s="3" t="s">
        <v>63</v>
      </c>
      <c r="G17" s="3" t="s">
        <v>95</v>
      </c>
      <c r="H17" s="3" t="s">
        <v>96</v>
      </c>
      <c r="I17" s="4" t="s">
        <v>76</v>
      </c>
      <c r="J17" s="5" t="n">
        <v>46318</v>
      </c>
      <c r="K17" s="6" t="n">
        <f aca="false">IF(J17="","",WORKDAY(J17+4,1))</f>
        <v>46323</v>
      </c>
      <c r="L17" s="5"/>
      <c r="M17" s="4"/>
      <c r="N17" s="4"/>
      <c r="O17" s="4" t="s">
        <v>97</v>
      </c>
    </row>
    <row r="18" customFormat="false" ht="23.25" hidden="false" customHeight="true" outlineLevel="0" collapsed="false">
      <c r="A18" s="3" t="n">
        <v>17</v>
      </c>
      <c r="B18" s="3" t="s">
        <v>92</v>
      </c>
      <c r="C18" s="3" t="s">
        <v>98</v>
      </c>
      <c r="D18" s="3" t="s">
        <v>99</v>
      </c>
      <c r="E18" s="3" t="s">
        <v>100</v>
      </c>
      <c r="F18" s="3" t="s">
        <v>101</v>
      </c>
      <c r="G18" s="3" t="s">
        <v>95</v>
      </c>
      <c r="H18" s="3" t="s">
        <v>96</v>
      </c>
      <c r="I18" s="4" t="s">
        <v>66</v>
      </c>
      <c r="J18" s="5" t="n">
        <v>46318</v>
      </c>
      <c r="K18" s="6" t="n">
        <f aca="false">IF(J18="","",WORKDAY(J18+4,1))</f>
        <v>46323</v>
      </c>
      <c r="L18" s="5"/>
      <c r="M18" s="4"/>
      <c r="N18" s="4"/>
      <c r="O18" s="4" t="s">
        <v>102</v>
      </c>
    </row>
    <row r="19" customFormat="false" ht="23.25" hidden="false" customHeight="true" outlineLevel="0" collapsed="false">
      <c r="A19" s="3" t="n">
        <v>18</v>
      </c>
      <c r="B19" s="3" t="s">
        <v>92</v>
      </c>
      <c r="C19" s="3" t="s">
        <v>103</v>
      </c>
      <c r="D19" s="3" t="s">
        <v>104</v>
      </c>
      <c r="E19" s="3" t="s">
        <v>105</v>
      </c>
      <c r="F19" s="3" t="s">
        <v>81</v>
      </c>
      <c r="G19" s="3" t="s">
        <v>95</v>
      </c>
      <c r="H19" s="3" t="s">
        <v>96</v>
      </c>
      <c r="I19" s="4" t="s">
        <v>66</v>
      </c>
      <c r="J19" s="5" t="n">
        <v>46318</v>
      </c>
      <c r="K19" s="6" t="n">
        <f aca="false">IF(J19="","",WORKDAY(J19+4,1))</f>
        <v>46323</v>
      </c>
      <c r="L19" s="5"/>
      <c r="M19" s="4"/>
      <c r="N19" s="4"/>
      <c r="O19" s="4" t="s">
        <v>67</v>
      </c>
    </row>
    <row r="20" customFormat="false" ht="23.25" hidden="false" customHeight="true" outlineLevel="0" collapsed="false">
      <c r="A20" s="3" t="n">
        <v>19</v>
      </c>
      <c r="B20" s="3" t="s">
        <v>92</v>
      </c>
      <c r="C20" s="3" t="s">
        <v>106</v>
      </c>
      <c r="D20" s="3" t="s">
        <v>69</v>
      </c>
      <c r="E20" s="3" t="s">
        <v>107</v>
      </c>
      <c r="F20" s="3" t="s">
        <v>81</v>
      </c>
      <c r="G20" s="3" t="s">
        <v>95</v>
      </c>
      <c r="H20" s="3" t="s">
        <v>96</v>
      </c>
      <c r="I20" s="4" t="s">
        <v>66</v>
      </c>
      <c r="J20" s="5" t="n">
        <v>46318</v>
      </c>
      <c r="K20" s="6" t="n">
        <f aca="false">IF(J20="","",WORKDAY(J20+4,1))</f>
        <v>46323</v>
      </c>
      <c r="L20" s="5"/>
      <c r="M20" s="4"/>
      <c r="N20" s="4"/>
      <c r="O20" s="4" t="s">
        <v>67</v>
      </c>
    </row>
    <row r="21" customFormat="false" ht="23.25" hidden="false" customHeight="true" outlineLevel="0" collapsed="false">
      <c r="A21" s="3" t="n">
        <v>20</v>
      </c>
      <c r="B21" s="3" t="s">
        <v>92</v>
      </c>
      <c r="C21" s="3" t="s">
        <v>108</v>
      </c>
      <c r="D21" s="3" t="s">
        <v>109</v>
      </c>
      <c r="E21" s="3" t="s">
        <v>110</v>
      </c>
      <c r="F21" s="3" t="s">
        <v>81</v>
      </c>
      <c r="G21" s="3" t="s">
        <v>95</v>
      </c>
      <c r="H21" s="3" t="s">
        <v>96</v>
      </c>
      <c r="I21" s="4" t="s">
        <v>111</v>
      </c>
      <c r="J21" s="5"/>
      <c r="K21" s="6" t="str">
        <f aca="false">IF(J21="","",WORKDAY(J21+4,1))</f>
        <v/>
      </c>
      <c r="L21" s="5"/>
      <c r="M21" s="4"/>
      <c r="N21" s="4"/>
      <c r="O21" s="4" t="s">
        <v>112</v>
      </c>
    </row>
    <row r="22" customFormat="false" ht="23.25" hidden="false" customHeight="true" outlineLevel="0" collapsed="false">
      <c r="A22" s="3" t="n">
        <v>21</v>
      </c>
      <c r="B22" s="3" t="s">
        <v>92</v>
      </c>
      <c r="C22" s="3" t="s">
        <v>113</v>
      </c>
      <c r="D22" s="3" t="s">
        <v>114</v>
      </c>
      <c r="E22" s="3" t="s">
        <v>115</v>
      </c>
      <c r="F22" s="3" t="s">
        <v>116</v>
      </c>
      <c r="G22" s="3" t="s">
        <v>95</v>
      </c>
      <c r="H22" s="3" t="s">
        <v>96</v>
      </c>
      <c r="I22" s="4" t="s">
        <v>111</v>
      </c>
      <c r="J22" s="5"/>
      <c r="K22" s="6" t="str">
        <f aca="false">IF(J22="","",WORKDAY(J22+4,1))</f>
        <v/>
      </c>
      <c r="L22" s="5"/>
      <c r="M22" s="4"/>
      <c r="N22" s="4"/>
      <c r="O22" s="4" t="s">
        <v>112</v>
      </c>
    </row>
    <row r="23" customFormat="false" ht="23.25" hidden="false" customHeight="true" outlineLevel="0" collapsed="false">
      <c r="A23" s="3" t="n">
        <v>22</v>
      </c>
      <c r="B23" s="3" t="s">
        <v>92</v>
      </c>
      <c r="C23" s="3" t="s">
        <v>117</v>
      </c>
      <c r="D23" s="3" t="s">
        <v>73</v>
      </c>
      <c r="E23" s="3" t="s">
        <v>118</v>
      </c>
      <c r="F23" s="3" t="s">
        <v>81</v>
      </c>
      <c r="G23" s="3" t="s">
        <v>95</v>
      </c>
      <c r="H23" s="3" t="s">
        <v>96</v>
      </c>
      <c r="I23" s="4" t="s">
        <v>111</v>
      </c>
      <c r="J23" s="5"/>
      <c r="K23" s="6" t="str">
        <f aca="false">IF(J23="","",WORKDAY(J23+4,1))</f>
        <v/>
      </c>
      <c r="L23" s="5"/>
      <c r="M23" s="4"/>
      <c r="N23" s="4"/>
      <c r="O23" s="4" t="s">
        <v>112</v>
      </c>
    </row>
    <row r="24" customFormat="false" ht="23.25" hidden="false" customHeight="true" outlineLevel="0" collapsed="false">
      <c r="A24" s="3" t="n">
        <v>23</v>
      </c>
      <c r="B24" s="3" t="s">
        <v>92</v>
      </c>
      <c r="C24" s="3" t="s">
        <v>119</v>
      </c>
      <c r="D24" s="3" t="s">
        <v>86</v>
      </c>
      <c r="E24" s="3" t="s">
        <v>120</v>
      </c>
      <c r="F24" s="3" t="s">
        <v>121</v>
      </c>
      <c r="G24" s="3" t="s">
        <v>95</v>
      </c>
      <c r="H24" s="3" t="s">
        <v>96</v>
      </c>
      <c r="I24" s="4" t="s">
        <v>111</v>
      </c>
      <c r="J24" s="5"/>
      <c r="K24" s="6" t="str">
        <f aca="false">IF(J24="","",WORKDAY(J24+4,1))</f>
        <v/>
      </c>
      <c r="L24" s="5"/>
      <c r="M24" s="4"/>
      <c r="N24" s="4"/>
      <c r="O24" s="4" t="s">
        <v>112</v>
      </c>
    </row>
    <row r="25" customFormat="false" ht="23.25" hidden="false" customHeight="true" outlineLevel="0" collapsed="false">
      <c r="A25" s="3" t="n">
        <v>24</v>
      </c>
      <c r="B25" s="3" t="s">
        <v>92</v>
      </c>
      <c r="C25" s="3" t="s">
        <v>122</v>
      </c>
      <c r="D25" s="3" t="s">
        <v>86</v>
      </c>
      <c r="E25" s="3" t="s">
        <v>123</v>
      </c>
      <c r="F25" s="3" t="s">
        <v>124</v>
      </c>
      <c r="G25" s="3" t="s">
        <v>95</v>
      </c>
      <c r="H25" s="3" t="s">
        <v>96</v>
      </c>
      <c r="I25" s="4" t="s">
        <v>111</v>
      </c>
      <c r="J25" s="5"/>
      <c r="K25" s="6" t="str">
        <f aca="false">IF(J25="","",WORKDAY(J25+4,1))</f>
        <v/>
      </c>
      <c r="L25" s="5"/>
      <c r="M25" s="4"/>
      <c r="N25" s="4"/>
      <c r="O25" s="4" t="s">
        <v>112</v>
      </c>
    </row>
    <row r="26" customFormat="false" ht="23.25" hidden="false" customHeight="true" outlineLevel="0" collapsed="false">
      <c r="A26" s="3" t="n">
        <v>25</v>
      </c>
      <c r="B26" s="3" t="s">
        <v>92</v>
      </c>
      <c r="C26" s="3" t="s">
        <v>125</v>
      </c>
      <c r="D26" s="3" t="s">
        <v>89</v>
      </c>
      <c r="E26" s="3" t="s">
        <v>126</v>
      </c>
      <c r="F26" s="3" t="s">
        <v>127</v>
      </c>
      <c r="G26" s="3" t="s">
        <v>95</v>
      </c>
      <c r="H26" s="3" t="s">
        <v>96</v>
      </c>
      <c r="I26" s="4" t="s">
        <v>22</v>
      </c>
      <c r="J26" s="5" t="n">
        <v>46314</v>
      </c>
      <c r="K26" s="6" t="n">
        <f aca="false">IF(J26="","",WORKDAY(J26+4,1))</f>
        <v>46321</v>
      </c>
      <c r="L26" s="5" t="n">
        <v>46321</v>
      </c>
      <c r="M26" s="4"/>
      <c r="N26" s="4"/>
      <c r="O26" s="4" t="s">
        <v>22</v>
      </c>
    </row>
    <row r="27" customFormat="false" ht="23.25" hidden="false" customHeight="true" outlineLevel="0" collapsed="false">
      <c r="A27" s="3" t="n">
        <v>26</v>
      </c>
      <c r="B27" s="3" t="s">
        <v>92</v>
      </c>
      <c r="C27" s="3" t="s">
        <v>128</v>
      </c>
      <c r="D27" s="3" t="s">
        <v>129</v>
      </c>
      <c r="E27" s="3" t="s">
        <v>130</v>
      </c>
      <c r="F27" s="3" t="s">
        <v>81</v>
      </c>
      <c r="G27" s="3" t="s">
        <v>95</v>
      </c>
      <c r="H27" s="3" t="s">
        <v>96</v>
      </c>
      <c r="I27" s="4" t="s">
        <v>111</v>
      </c>
      <c r="J27" s="5"/>
      <c r="K27" s="6" t="str">
        <f aca="false">IF(J27="","",WORKDAY(J27+4,1))</f>
        <v/>
      </c>
      <c r="L27" s="5"/>
      <c r="M27" s="4"/>
      <c r="N27" s="4"/>
      <c r="O27" s="4" t="s">
        <v>112</v>
      </c>
    </row>
    <row r="28" customFormat="false" ht="23.25" hidden="false" customHeight="true" outlineLevel="0" collapsed="false">
      <c r="A28" s="3" t="n">
        <v>27</v>
      </c>
      <c r="B28" s="3" t="s">
        <v>131</v>
      </c>
      <c r="C28" s="3" t="s">
        <v>132</v>
      </c>
      <c r="D28" s="3" t="s">
        <v>17</v>
      </c>
      <c r="E28" s="3" t="s">
        <v>133</v>
      </c>
      <c r="F28" s="3" t="s">
        <v>134</v>
      </c>
      <c r="G28" s="3" t="s">
        <v>135</v>
      </c>
      <c r="H28" s="3" t="s">
        <v>136</v>
      </c>
      <c r="I28" s="4" t="s">
        <v>76</v>
      </c>
      <c r="J28" s="5" t="n">
        <v>46314</v>
      </c>
      <c r="K28" s="6" t="n">
        <f aca="false">IF(J28="","",WORKDAY(J28+4,1))</f>
        <v>46321</v>
      </c>
      <c r="L28" s="5"/>
      <c r="M28" s="4"/>
      <c r="N28" s="4"/>
      <c r="O28" s="4" t="s">
        <v>137</v>
      </c>
    </row>
    <row r="29" customFormat="false" ht="23.25" hidden="false" customHeight="true" outlineLevel="0" collapsed="false">
      <c r="A29" s="3" t="n">
        <v>28</v>
      </c>
      <c r="B29" s="3" t="s">
        <v>59</v>
      </c>
      <c r="C29" s="3" t="s">
        <v>138</v>
      </c>
      <c r="D29" s="3" t="s">
        <v>139</v>
      </c>
      <c r="E29" s="3" t="s">
        <v>140</v>
      </c>
      <c r="F29" s="3" t="s">
        <v>141</v>
      </c>
      <c r="G29" s="3" t="s">
        <v>64</v>
      </c>
      <c r="H29" s="3" t="s">
        <v>65</v>
      </c>
      <c r="I29" s="4" t="s">
        <v>22</v>
      </c>
      <c r="J29" s="5" t="n">
        <v>46314</v>
      </c>
      <c r="K29" s="6" t="n">
        <f aca="false">IF(J29="","",WORKDAY(J29+4,1))</f>
        <v>46321</v>
      </c>
      <c r="L29" s="5" t="n">
        <v>46321</v>
      </c>
      <c r="M29" s="4"/>
      <c r="N29" s="4"/>
      <c r="O29" s="4" t="s">
        <v>22</v>
      </c>
    </row>
    <row r="30" customFormat="false" ht="23.25" hidden="false" customHeight="true" outlineLevel="0" collapsed="false">
      <c r="A30" s="3" t="n">
        <v>29</v>
      </c>
      <c r="B30" s="3" t="s">
        <v>59</v>
      </c>
      <c r="C30" s="3" t="s">
        <v>142</v>
      </c>
      <c r="D30" s="3" t="s">
        <v>109</v>
      </c>
      <c r="E30" s="3" t="s">
        <v>143</v>
      </c>
      <c r="F30" s="3" t="s">
        <v>144</v>
      </c>
      <c r="G30" s="3" t="s">
        <v>64</v>
      </c>
      <c r="H30" s="3" t="s">
        <v>65</v>
      </c>
      <c r="I30" s="4" t="s">
        <v>22</v>
      </c>
      <c r="J30" s="5" t="n">
        <v>46314</v>
      </c>
      <c r="K30" s="6" t="n">
        <f aca="false">IF(J30="","",WORKDAY(J30+4,1))</f>
        <v>46321</v>
      </c>
      <c r="L30" s="5" t="n">
        <v>46321</v>
      </c>
      <c r="M30" s="4"/>
      <c r="N30" s="4"/>
      <c r="O30" s="4" t="s">
        <v>22</v>
      </c>
    </row>
    <row r="31" customFormat="false" ht="23.25" hidden="false" customHeight="true" outlineLevel="0" collapsed="false">
      <c r="A31" s="3" t="n">
        <v>30</v>
      </c>
      <c r="B31" s="3" t="s">
        <v>59</v>
      </c>
      <c r="C31" s="3" t="s">
        <v>145</v>
      </c>
      <c r="D31" s="3" t="s">
        <v>109</v>
      </c>
      <c r="E31" s="3" t="s">
        <v>146</v>
      </c>
      <c r="F31" s="3" t="s">
        <v>144</v>
      </c>
      <c r="G31" s="3" t="s">
        <v>64</v>
      </c>
      <c r="H31" s="3" t="s">
        <v>65</v>
      </c>
      <c r="I31" s="4" t="s">
        <v>22</v>
      </c>
      <c r="J31" s="5" t="n">
        <v>46314</v>
      </c>
      <c r="K31" s="6" t="n">
        <f aca="false">IF(J31="","",WORKDAY(J31+4,1))</f>
        <v>46321</v>
      </c>
      <c r="L31" s="5" t="n">
        <v>46321</v>
      </c>
      <c r="M31" s="4"/>
      <c r="N31" s="4"/>
      <c r="O31" s="4" t="s">
        <v>22</v>
      </c>
    </row>
    <row r="32" customFormat="false" ht="15" hidden="false" customHeight="true" outlineLevel="0" collapsed="false">
      <c r="A32" s="3" t="n">
        <v>31</v>
      </c>
      <c r="B32" s="3" t="s">
        <v>59</v>
      </c>
      <c r="C32" s="3" t="s">
        <v>147</v>
      </c>
      <c r="D32" s="3" t="s">
        <v>109</v>
      </c>
      <c r="E32" s="3" t="s">
        <v>148</v>
      </c>
      <c r="F32" s="3" t="s">
        <v>144</v>
      </c>
      <c r="G32" s="3" t="s">
        <v>64</v>
      </c>
      <c r="H32" s="3" t="s">
        <v>65</v>
      </c>
      <c r="I32" s="4" t="s">
        <v>22</v>
      </c>
      <c r="J32" s="5" t="n">
        <v>46315</v>
      </c>
      <c r="K32" s="6" t="n">
        <f aca="false">IF(J32="","",WORKDAY(J32+4,1))</f>
        <v>46321</v>
      </c>
      <c r="L32" s="5" t="n">
        <v>46321</v>
      </c>
      <c r="M32" s="4"/>
      <c r="N32" s="4"/>
      <c r="O32" s="4" t="s">
        <v>22</v>
      </c>
    </row>
    <row r="33" customFormat="false" ht="15" hidden="false" customHeight="true" outlineLevel="0" collapsed="false">
      <c r="A33" s="3" t="n">
        <v>32</v>
      </c>
      <c r="B33" s="3" t="s">
        <v>59</v>
      </c>
      <c r="C33" s="3" t="s">
        <v>149</v>
      </c>
      <c r="D33" s="3" t="s">
        <v>109</v>
      </c>
      <c r="E33" s="3" t="s">
        <v>150</v>
      </c>
      <c r="F33" s="3" t="s">
        <v>144</v>
      </c>
      <c r="G33" s="3" t="s">
        <v>64</v>
      </c>
      <c r="H33" s="3" t="s">
        <v>65</v>
      </c>
      <c r="I33" s="4" t="s">
        <v>22</v>
      </c>
      <c r="J33" s="5" t="n">
        <v>46315</v>
      </c>
      <c r="K33" s="6" t="n">
        <f aca="false">IF(J33="","",WORKDAY(J33+4,1))</f>
        <v>46321</v>
      </c>
      <c r="L33" s="5" t="n">
        <v>46321</v>
      </c>
      <c r="M33" s="4"/>
      <c r="N33" s="4"/>
      <c r="O33" s="4" t="s">
        <v>22</v>
      </c>
    </row>
    <row r="34" customFormat="false" ht="15" hidden="false" customHeight="true" outlineLevel="0" collapsed="false">
      <c r="A34" s="3" t="n">
        <v>33</v>
      </c>
      <c r="B34" s="3" t="s">
        <v>59</v>
      </c>
      <c r="C34" s="3" t="s">
        <v>151</v>
      </c>
      <c r="D34" s="3" t="s">
        <v>89</v>
      </c>
      <c r="E34" s="3" t="s">
        <v>152</v>
      </c>
      <c r="F34" s="3" t="s">
        <v>153</v>
      </c>
      <c r="G34" s="3" t="s">
        <v>64</v>
      </c>
      <c r="H34" s="3" t="s">
        <v>65</v>
      </c>
      <c r="I34" s="4" t="s">
        <v>22</v>
      </c>
      <c r="J34" s="5" t="n">
        <v>46315</v>
      </c>
      <c r="K34" s="6" t="n">
        <f aca="false">IF(J34="","",WORKDAY(J34+4,1))</f>
        <v>46321</v>
      </c>
      <c r="L34" s="5" t="n">
        <v>46321</v>
      </c>
      <c r="M34" s="4"/>
      <c r="N34" s="4"/>
      <c r="O34" s="4" t="s">
        <v>22</v>
      </c>
    </row>
    <row r="35" customFormat="false" ht="15" hidden="false" customHeight="true" outlineLevel="0" collapsed="false">
      <c r="A35" s="3" t="n">
        <v>34</v>
      </c>
      <c r="B35" s="3" t="s">
        <v>59</v>
      </c>
      <c r="C35" s="3" t="s">
        <v>154</v>
      </c>
      <c r="D35" s="3" t="s">
        <v>155</v>
      </c>
      <c r="E35" s="3" t="s">
        <v>156</v>
      </c>
      <c r="F35" s="3" t="s">
        <v>157</v>
      </c>
      <c r="G35" s="3" t="s">
        <v>64</v>
      </c>
      <c r="H35" s="3" t="s">
        <v>65</v>
      </c>
      <c r="I35" s="4" t="s">
        <v>22</v>
      </c>
      <c r="J35" s="5" t="n">
        <v>46315</v>
      </c>
      <c r="K35" s="6" t="n">
        <f aca="false">IF(J35="","",WORKDAY(J35+4,1))</f>
        <v>46321</v>
      </c>
      <c r="L35" s="5" t="n">
        <v>46321</v>
      </c>
      <c r="M35" s="4"/>
      <c r="N35" s="4"/>
      <c r="O35" s="4" t="s">
        <v>22</v>
      </c>
    </row>
    <row r="36" customFormat="false" ht="15" hidden="false" customHeight="true" outlineLevel="0" collapsed="false">
      <c r="A36" s="3" t="n">
        <v>35</v>
      </c>
      <c r="B36" s="3" t="s">
        <v>59</v>
      </c>
      <c r="C36" s="3" t="s">
        <v>158</v>
      </c>
      <c r="D36" s="3" t="s">
        <v>129</v>
      </c>
      <c r="E36" s="3" t="s">
        <v>159</v>
      </c>
      <c r="F36" s="3" t="s">
        <v>160</v>
      </c>
      <c r="G36" s="3" t="s">
        <v>64</v>
      </c>
      <c r="H36" s="3" t="s">
        <v>65</v>
      </c>
      <c r="I36" s="4" t="s">
        <v>22</v>
      </c>
      <c r="J36" s="5" t="n">
        <v>46315</v>
      </c>
      <c r="K36" s="6" t="n">
        <f aca="false">IF(J36="","",WORKDAY(J36+4,1))</f>
        <v>46321</v>
      </c>
      <c r="L36" s="5" t="n">
        <v>46321</v>
      </c>
      <c r="M36" s="4"/>
      <c r="N36" s="4"/>
      <c r="O36" s="4" t="s">
        <v>22</v>
      </c>
    </row>
    <row r="37" customFormat="false" ht="15" hidden="false" customHeight="true" outlineLevel="0" collapsed="false">
      <c r="A37" s="3" t="n">
        <v>36</v>
      </c>
      <c r="B37" s="3" t="s">
        <v>59</v>
      </c>
      <c r="C37" s="3" t="s">
        <v>161</v>
      </c>
      <c r="D37" s="3" t="s">
        <v>104</v>
      </c>
      <c r="E37" s="3" t="s">
        <v>162</v>
      </c>
      <c r="F37" s="3" t="s">
        <v>163</v>
      </c>
      <c r="G37" s="3" t="s">
        <v>64</v>
      </c>
      <c r="H37" s="3" t="s">
        <v>65</v>
      </c>
      <c r="I37" s="4" t="s">
        <v>22</v>
      </c>
      <c r="J37" s="5" t="n">
        <v>46315</v>
      </c>
      <c r="K37" s="6" t="n">
        <f aca="false">IF(J37="","",WORKDAY(J37+4,1))</f>
        <v>46321</v>
      </c>
      <c r="L37" s="5" t="n">
        <v>46321</v>
      </c>
      <c r="M37" s="4"/>
      <c r="N37" s="4"/>
      <c r="O37" s="4" t="s">
        <v>22</v>
      </c>
    </row>
    <row r="38" customFormat="false" ht="15" hidden="false" customHeight="true" outlineLevel="0" collapsed="false">
      <c r="A38" s="3" t="n">
        <v>37</v>
      </c>
      <c r="B38" s="3" t="s">
        <v>59</v>
      </c>
      <c r="C38" s="3" t="s">
        <v>164</v>
      </c>
      <c r="D38" s="3" t="s">
        <v>99</v>
      </c>
      <c r="E38" s="3" t="s">
        <v>165</v>
      </c>
      <c r="F38" s="3" t="s">
        <v>166</v>
      </c>
      <c r="G38" s="3" t="s">
        <v>64</v>
      </c>
      <c r="H38" s="3" t="s">
        <v>65</v>
      </c>
      <c r="I38" s="4" t="s">
        <v>22</v>
      </c>
      <c r="J38" s="5" t="n">
        <v>46315</v>
      </c>
      <c r="K38" s="6" t="n">
        <f aca="false">IF(J38="","",WORKDAY(J38+4,1))</f>
        <v>46321</v>
      </c>
      <c r="L38" s="5" t="n">
        <v>46321</v>
      </c>
      <c r="M38" s="4"/>
      <c r="N38" s="4"/>
      <c r="O38" s="4" t="s">
        <v>22</v>
      </c>
    </row>
    <row r="39" customFormat="false" ht="15" hidden="false" customHeight="true" outlineLevel="0" collapsed="false">
      <c r="A39" s="3" t="n">
        <v>38</v>
      </c>
      <c r="B39" s="3" t="s">
        <v>59</v>
      </c>
      <c r="C39" s="3" t="s">
        <v>167</v>
      </c>
      <c r="D39" s="3" t="s">
        <v>129</v>
      </c>
      <c r="E39" s="3" t="s">
        <v>168</v>
      </c>
      <c r="F39" s="3" t="s">
        <v>166</v>
      </c>
      <c r="G39" s="3" t="s">
        <v>64</v>
      </c>
      <c r="H39" s="3" t="s">
        <v>65</v>
      </c>
      <c r="I39" s="4" t="s">
        <v>22</v>
      </c>
      <c r="J39" s="5" t="n">
        <v>46315</v>
      </c>
      <c r="K39" s="6" t="n">
        <f aca="false">IF(J39="","",WORKDAY(J39+4,1))</f>
        <v>46321</v>
      </c>
      <c r="L39" s="5" t="n">
        <v>46321</v>
      </c>
      <c r="M39" s="4"/>
      <c r="N39" s="4"/>
      <c r="O39" s="4" t="s">
        <v>22</v>
      </c>
    </row>
    <row r="40" customFormat="false" ht="15" hidden="false" customHeight="true" outlineLevel="0" collapsed="false">
      <c r="A40" s="3" t="n">
        <v>39</v>
      </c>
      <c r="B40" s="3" t="s">
        <v>92</v>
      </c>
      <c r="C40" s="3" t="s">
        <v>169</v>
      </c>
      <c r="D40" s="3" t="s">
        <v>155</v>
      </c>
      <c r="E40" s="3" t="s">
        <v>170</v>
      </c>
      <c r="F40" s="3" t="s">
        <v>171</v>
      </c>
      <c r="G40" s="3" t="s">
        <v>95</v>
      </c>
      <c r="H40" s="3" t="s">
        <v>96</v>
      </c>
      <c r="I40" s="4" t="s">
        <v>22</v>
      </c>
      <c r="J40" s="5" t="n">
        <v>46315</v>
      </c>
      <c r="K40" s="6" t="n">
        <f aca="false">IF(J40="","",WORKDAY(J40+4,1))</f>
        <v>46321</v>
      </c>
      <c r="L40" s="5" t="n">
        <v>46321</v>
      </c>
      <c r="M40" s="4"/>
      <c r="N40" s="4"/>
      <c r="O40" s="4" t="s">
        <v>22</v>
      </c>
    </row>
    <row r="41" customFormat="false" ht="15" hidden="false" customHeight="true" outlineLevel="0" collapsed="false">
      <c r="A41" s="3" t="n">
        <v>40</v>
      </c>
      <c r="B41" s="3" t="s">
        <v>92</v>
      </c>
      <c r="C41" s="3" t="s">
        <v>172</v>
      </c>
      <c r="D41" s="3" t="s">
        <v>61</v>
      </c>
      <c r="E41" s="3" t="s">
        <v>173</v>
      </c>
      <c r="F41" s="3" t="s">
        <v>81</v>
      </c>
      <c r="G41" s="3" t="s">
        <v>95</v>
      </c>
      <c r="H41" s="3" t="s">
        <v>96</v>
      </c>
      <c r="I41" s="4" t="s">
        <v>111</v>
      </c>
      <c r="J41" s="5"/>
      <c r="K41" s="6" t="str">
        <f aca="false">IF(J41="","",WORKDAY(J41+4,1))</f>
        <v/>
      </c>
      <c r="L41" s="5"/>
      <c r="M41" s="4"/>
      <c r="N41" s="4"/>
      <c r="O41" s="4" t="s">
        <v>112</v>
      </c>
    </row>
    <row r="42" customFormat="false" ht="15" hidden="false" customHeight="true" outlineLevel="0" collapsed="false">
      <c r="A42" s="3" t="n">
        <v>41</v>
      </c>
      <c r="B42" s="3" t="s">
        <v>92</v>
      </c>
      <c r="C42" s="3" t="s">
        <v>174</v>
      </c>
      <c r="D42" s="3" t="s">
        <v>61</v>
      </c>
      <c r="E42" s="3" t="s">
        <v>175</v>
      </c>
      <c r="F42" s="3" t="s">
        <v>176</v>
      </c>
      <c r="G42" s="3" t="s">
        <v>95</v>
      </c>
      <c r="H42" s="3" t="s">
        <v>96</v>
      </c>
      <c r="I42" s="4" t="s">
        <v>177</v>
      </c>
      <c r="J42" s="5" t="n">
        <v>46315</v>
      </c>
      <c r="K42" s="6" t="n">
        <f aca="false">IF(J42="","",WORKDAY(J42+4,1))</f>
        <v>46321</v>
      </c>
      <c r="L42" s="5"/>
      <c r="M42" s="4" t="s">
        <v>28</v>
      </c>
      <c r="N42" s="4"/>
      <c r="O42" s="4" t="s">
        <v>178</v>
      </c>
    </row>
    <row r="43" customFormat="false" ht="15" hidden="false" customHeight="true" outlineLevel="0" collapsed="false">
      <c r="A43" s="3" t="n">
        <v>42</v>
      </c>
      <c r="B43" s="3" t="s">
        <v>92</v>
      </c>
      <c r="C43" s="3" t="s">
        <v>179</v>
      </c>
      <c r="D43" s="3" t="s">
        <v>99</v>
      </c>
      <c r="E43" s="3" t="s">
        <v>180</v>
      </c>
      <c r="F43" s="3" t="s">
        <v>171</v>
      </c>
      <c r="G43" s="3" t="s">
        <v>95</v>
      </c>
      <c r="H43" s="3" t="s">
        <v>96</v>
      </c>
      <c r="I43" s="4" t="s">
        <v>22</v>
      </c>
      <c r="J43" s="5" t="n">
        <v>46315</v>
      </c>
      <c r="K43" s="6" t="n">
        <f aca="false">IF(J43="","",WORKDAY(J43+4,1))</f>
        <v>46321</v>
      </c>
      <c r="L43" s="5" t="n">
        <v>46321</v>
      </c>
      <c r="M43" s="4"/>
      <c r="N43" s="4"/>
      <c r="O43" s="4" t="s">
        <v>22</v>
      </c>
    </row>
    <row r="44" customFormat="false" ht="15" hidden="false" customHeight="true" outlineLevel="0" collapsed="false">
      <c r="A44" s="3" t="n">
        <v>43</v>
      </c>
      <c r="B44" s="3" t="s">
        <v>92</v>
      </c>
      <c r="C44" s="3" t="s">
        <v>181</v>
      </c>
      <c r="D44" s="3" t="s">
        <v>114</v>
      </c>
      <c r="E44" s="3" t="s">
        <v>182</v>
      </c>
      <c r="F44" s="3" t="s">
        <v>183</v>
      </c>
      <c r="G44" s="3" t="s">
        <v>95</v>
      </c>
      <c r="H44" s="3" t="s">
        <v>96</v>
      </c>
      <c r="I44" s="4" t="s">
        <v>76</v>
      </c>
      <c r="J44" s="5" t="n">
        <v>46315</v>
      </c>
      <c r="K44" s="6" t="n">
        <f aca="false">IF(J44="","",WORKDAY(J44+4,1))</f>
        <v>46321</v>
      </c>
      <c r="L44" s="5"/>
      <c r="M44" s="4"/>
      <c r="N44" s="4"/>
      <c r="O44" s="4" t="s">
        <v>184</v>
      </c>
    </row>
    <row r="45" customFormat="false" ht="15" hidden="false" customHeight="true" outlineLevel="0" collapsed="false">
      <c r="A45" s="3" t="n">
        <v>44</v>
      </c>
      <c r="B45" s="3" t="s">
        <v>92</v>
      </c>
      <c r="C45" s="3" t="s">
        <v>185</v>
      </c>
      <c r="D45" s="3" t="s">
        <v>129</v>
      </c>
      <c r="E45" s="3" t="s">
        <v>186</v>
      </c>
      <c r="F45" s="3" t="s">
        <v>171</v>
      </c>
      <c r="G45" s="3" t="s">
        <v>95</v>
      </c>
      <c r="H45" s="3" t="s">
        <v>96</v>
      </c>
      <c r="I45" s="4" t="s">
        <v>22</v>
      </c>
      <c r="J45" s="5" t="n">
        <v>46315</v>
      </c>
      <c r="K45" s="6" t="n">
        <f aca="false">IF(J45="","",WORKDAY(J45+4,1))</f>
        <v>46321</v>
      </c>
      <c r="L45" s="5" t="n">
        <v>46321</v>
      </c>
      <c r="M45" s="4"/>
      <c r="N45" s="4"/>
      <c r="O45" s="4" t="s">
        <v>22</v>
      </c>
    </row>
    <row r="46" customFormat="false" ht="15" hidden="false" customHeight="true" outlineLevel="0" collapsed="false">
      <c r="A46" s="3" t="n">
        <v>45</v>
      </c>
      <c r="B46" s="3" t="s">
        <v>92</v>
      </c>
      <c r="C46" s="3" t="s">
        <v>187</v>
      </c>
      <c r="D46" s="3" t="s">
        <v>89</v>
      </c>
      <c r="E46" s="3" t="s">
        <v>188</v>
      </c>
      <c r="F46" s="3" t="s">
        <v>171</v>
      </c>
      <c r="G46" s="3" t="s">
        <v>95</v>
      </c>
      <c r="H46" s="3" t="s">
        <v>96</v>
      </c>
      <c r="I46" s="4" t="s">
        <v>66</v>
      </c>
      <c r="J46" s="5" t="n">
        <v>46317</v>
      </c>
      <c r="K46" s="6" t="n">
        <f aca="false">IF(J46="","",WORKDAY(J46+4,1))</f>
        <v>46322</v>
      </c>
      <c r="L46" s="5"/>
      <c r="M46" s="4"/>
      <c r="N46" s="4"/>
      <c r="O46" s="4" t="s">
        <v>189</v>
      </c>
    </row>
    <row r="47" customFormat="false" ht="15" hidden="false" customHeight="true" outlineLevel="0" collapsed="false">
      <c r="A47" s="3" t="n">
        <v>46</v>
      </c>
      <c r="B47" s="3" t="s">
        <v>92</v>
      </c>
      <c r="C47" s="3" t="s">
        <v>190</v>
      </c>
      <c r="D47" s="3" t="s">
        <v>155</v>
      </c>
      <c r="E47" s="3" t="s">
        <v>191</v>
      </c>
      <c r="F47" s="3" t="s">
        <v>171</v>
      </c>
      <c r="G47" s="3" t="s">
        <v>95</v>
      </c>
      <c r="H47" s="3" t="s">
        <v>96</v>
      </c>
      <c r="I47" s="4" t="s">
        <v>22</v>
      </c>
      <c r="J47" s="5" t="n">
        <v>46316</v>
      </c>
      <c r="K47" s="6" t="n">
        <f aca="false">IF(J47="","",WORKDAY(J47+4,1))</f>
        <v>46321</v>
      </c>
      <c r="L47" s="5" t="n">
        <v>46321</v>
      </c>
      <c r="M47" s="4"/>
      <c r="N47" s="4"/>
      <c r="O47" s="4" t="s">
        <v>22</v>
      </c>
    </row>
    <row r="48" customFormat="false" ht="15" hidden="false" customHeight="true" outlineLevel="0" collapsed="false">
      <c r="A48" s="3" t="n">
        <v>47</v>
      </c>
      <c r="B48" s="3" t="s">
        <v>92</v>
      </c>
      <c r="C48" s="3" t="s">
        <v>192</v>
      </c>
      <c r="D48" s="3" t="s">
        <v>86</v>
      </c>
      <c r="E48" s="3" t="s">
        <v>193</v>
      </c>
      <c r="F48" s="3" t="s">
        <v>194</v>
      </c>
      <c r="G48" s="3" t="s">
        <v>95</v>
      </c>
      <c r="H48" s="3" t="s">
        <v>96</v>
      </c>
      <c r="I48" s="4" t="s">
        <v>22</v>
      </c>
      <c r="J48" s="5" t="n">
        <v>46316</v>
      </c>
      <c r="K48" s="6" t="n">
        <f aca="false">IF(J48="","",WORKDAY(J48+4,1))</f>
        <v>46321</v>
      </c>
      <c r="L48" s="5" t="n">
        <v>46321</v>
      </c>
      <c r="M48" s="4"/>
      <c r="N48" s="4"/>
      <c r="O48" s="4" t="s">
        <v>22</v>
      </c>
    </row>
    <row r="49" customFormat="false" ht="15" hidden="false" customHeight="true" outlineLevel="0" collapsed="false">
      <c r="A49" s="3" t="n">
        <v>48</v>
      </c>
      <c r="B49" s="3" t="s">
        <v>195</v>
      </c>
      <c r="C49" s="3" t="s">
        <v>196</v>
      </c>
      <c r="D49" s="3" t="s">
        <v>89</v>
      </c>
      <c r="E49" s="3" t="s">
        <v>197</v>
      </c>
      <c r="F49" s="3" t="s">
        <v>198</v>
      </c>
      <c r="G49" s="3" t="s">
        <v>135</v>
      </c>
      <c r="H49" s="3" t="s">
        <v>199</v>
      </c>
      <c r="I49" s="4" t="s">
        <v>111</v>
      </c>
      <c r="J49" s="5"/>
      <c r="K49" s="6" t="str">
        <f aca="false">IF(J49="","",WORKDAY(J49+4,1))</f>
        <v/>
      </c>
      <c r="L49" s="5"/>
      <c r="M49" s="4"/>
      <c r="N49" s="4"/>
      <c r="O49" s="4" t="s">
        <v>112</v>
      </c>
    </row>
    <row r="50" customFormat="false" ht="15" hidden="false" customHeight="true" outlineLevel="0" collapsed="false">
      <c r="A50" s="3" t="n">
        <v>49</v>
      </c>
      <c r="B50" s="3" t="s">
        <v>195</v>
      </c>
      <c r="C50" s="3" t="s">
        <v>200</v>
      </c>
      <c r="D50" s="3" t="s">
        <v>79</v>
      </c>
      <c r="E50" s="3" t="s">
        <v>201</v>
      </c>
      <c r="F50" s="3" t="s">
        <v>202</v>
      </c>
      <c r="G50" s="3" t="s">
        <v>135</v>
      </c>
      <c r="H50" s="3" t="s">
        <v>199</v>
      </c>
      <c r="I50" s="4" t="s">
        <v>76</v>
      </c>
      <c r="J50" s="5" t="n">
        <v>46316</v>
      </c>
      <c r="K50" s="6" t="n">
        <f aca="false">IF(J50="","",WORKDAY(J50+4,1))</f>
        <v>46321</v>
      </c>
      <c r="L50" s="5"/>
      <c r="M50" s="4"/>
      <c r="N50" s="4"/>
      <c r="O50" s="4" t="s">
        <v>203</v>
      </c>
    </row>
    <row r="51" customFormat="false" ht="15" hidden="false" customHeight="true" outlineLevel="0" collapsed="false">
      <c r="A51" s="3" t="n">
        <v>50</v>
      </c>
      <c r="B51" s="3" t="s">
        <v>195</v>
      </c>
      <c r="C51" s="3" t="s">
        <v>204</v>
      </c>
      <c r="D51" s="3" t="s">
        <v>99</v>
      </c>
      <c r="E51" s="3" t="s">
        <v>205</v>
      </c>
      <c r="F51" s="3" t="s">
        <v>198</v>
      </c>
      <c r="G51" s="3" t="s">
        <v>135</v>
      </c>
      <c r="H51" s="3" t="s">
        <v>199</v>
      </c>
      <c r="I51" s="4" t="s">
        <v>111</v>
      </c>
      <c r="J51" s="5"/>
      <c r="K51" s="6" t="str">
        <f aca="false">IF(J51="","",WORKDAY(J51+4,1))</f>
        <v/>
      </c>
      <c r="L51" s="5"/>
      <c r="M51" s="4"/>
      <c r="N51" s="4"/>
      <c r="O51" s="4" t="s">
        <v>112</v>
      </c>
    </row>
    <row r="52" customFormat="false" ht="15" hidden="false" customHeight="true" outlineLevel="0" collapsed="false">
      <c r="A52" s="3" t="n">
        <v>51</v>
      </c>
      <c r="B52" s="3" t="s">
        <v>195</v>
      </c>
      <c r="C52" s="3" t="s">
        <v>206</v>
      </c>
      <c r="D52" s="3" t="s">
        <v>79</v>
      </c>
      <c r="E52" s="3" t="s">
        <v>207</v>
      </c>
      <c r="F52" s="3" t="s">
        <v>198</v>
      </c>
      <c r="G52" s="3" t="s">
        <v>135</v>
      </c>
      <c r="H52" s="3" t="s">
        <v>199</v>
      </c>
      <c r="I52" s="4" t="s">
        <v>111</v>
      </c>
      <c r="J52" s="5"/>
      <c r="K52" s="6" t="str">
        <f aca="false">IF(J52="","",WORKDAY(J52+4,1))</f>
        <v/>
      </c>
      <c r="L52" s="5"/>
      <c r="M52" s="4"/>
      <c r="N52" s="4"/>
      <c r="O52" s="4" t="s">
        <v>112</v>
      </c>
    </row>
    <row r="53" customFormat="false" ht="15" hidden="false" customHeight="true" outlineLevel="0" collapsed="false">
      <c r="A53" s="3" t="n">
        <v>52</v>
      </c>
      <c r="B53" s="3" t="s">
        <v>195</v>
      </c>
      <c r="C53" s="3" t="s">
        <v>208</v>
      </c>
      <c r="D53" s="3" t="s">
        <v>99</v>
      </c>
      <c r="E53" s="3" t="s">
        <v>209</v>
      </c>
      <c r="F53" s="3" t="s">
        <v>198</v>
      </c>
      <c r="G53" s="3" t="s">
        <v>135</v>
      </c>
      <c r="H53" s="3" t="s">
        <v>199</v>
      </c>
      <c r="I53" s="4" t="s">
        <v>111</v>
      </c>
      <c r="J53" s="5"/>
      <c r="K53" s="6" t="str">
        <f aca="false">IF(J53="","",WORKDAY(J53+4,1))</f>
        <v/>
      </c>
      <c r="L53" s="5"/>
      <c r="M53" s="4"/>
      <c r="N53" s="4"/>
      <c r="O53" s="4" t="s">
        <v>112</v>
      </c>
    </row>
    <row r="54" customFormat="false" ht="15" hidden="false" customHeight="true" outlineLevel="0" collapsed="false">
      <c r="A54" s="3" t="n">
        <v>53</v>
      </c>
      <c r="B54" s="3" t="s">
        <v>195</v>
      </c>
      <c r="C54" s="3" t="s">
        <v>210</v>
      </c>
      <c r="D54" s="3" t="s">
        <v>129</v>
      </c>
      <c r="E54" s="3" t="s">
        <v>211</v>
      </c>
      <c r="F54" s="3" t="s">
        <v>198</v>
      </c>
      <c r="G54" s="3" t="s">
        <v>135</v>
      </c>
      <c r="H54" s="3" t="s">
        <v>199</v>
      </c>
      <c r="I54" s="4" t="s">
        <v>111</v>
      </c>
      <c r="J54" s="5"/>
      <c r="K54" s="6" t="str">
        <f aca="false">IF(J54="","",WORKDAY(J54+4,1))</f>
        <v/>
      </c>
      <c r="L54" s="5"/>
      <c r="M54" s="4"/>
      <c r="N54" s="4"/>
      <c r="O54" s="4" t="s">
        <v>112</v>
      </c>
    </row>
    <row r="55" customFormat="false" ht="15" hidden="false" customHeight="true" outlineLevel="0" collapsed="false">
      <c r="A55" s="3" t="n">
        <v>54</v>
      </c>
      <c r="B55" s="3" t="s">
        <v>195</v>
      </c>
      <c r="C55" s="3" t="s">
        <v>212</v>
      </c>
      <c r="D55" s="3" t="s">
        <v>79</v>
      </c>
      <c r="E55" s="3" t="s">
        <v>213</v>
      </c>
      <c r="F55" s="3" t="s">
        <v>214</v>
      </c>
      <c r="G55" s="3" t="s">
        <v>135</v>
      </c>
      <c r="H55" s="3" t="s">
        <v>199</v>
      </c>
      <c r="I55" s="4" t="s">
        <v>111</v>
      </c>
      <c r="J55" s="5"/>
      <c r="K55" s="6" t="str">
        <f aca="false">IF(J55="","",WORKDAY(J55+4,1))</f>
        <v/>
      </c>
      <c r="L55" s="5"/>
      <c r="M55" s="4"/>
      <c r="N55" s="4"/>
      <c r="O55" s="4" t="s">
        <v>112</v>
      </c>
    </row>
    <row r="56" customFormat="false" ht="15" hidden="false" customHeight="true" outlineLevel="0" collapsed="false">
      <c r="A56" s="3" t="n">
        <v>55</v>
      </c>
      <c r="B56" s="3" t="s">
        <v>195</v>
      </c>
      <c r="C56" s="3" t="s">
        <v>215</v>
      </c>
      <c r="D56" s="3" t="s">
        <v>129</v>
      </c>
      <c r="E56" s="3" t="s">
        <v>216</v>
      </c>
      <c r="F56" s="3" t="s">
        <v>217</v>
      </c>
      <c r="G56" s="3" t="s">
        <v>135</v>
      </c>
      <c r="H56" s="3" t="s">
        <v>199</v>
      </c>
      <c r="I56" s="4" t="s">
        <v>22</v>
      </c>
      <c r="J56" s="5" t="n">
        <v>46316</v>
      </c>
      <c r="K56" s="6" t="n">
        <f aca="false">IF(J56="","",WORKDAY(J56+4,1))</f>
        <v>46321</v>
      </c>
      <c r="L56" s="5" t="n">
        <v>46321</v>
      </c>
      <c r="M56" s="4"/>
      <c r="N56" s="4"/>
      <c r="O56" s="4" t="s">
        <v>22</v>
      </c>
    </row>
    <row r="57" customFormat="false" ht="15" hidden="false" customHeight="true" outlineLevel="0" collapsed="false">
      <c r="A57" s="3" t="n">
        <v>56</v>
      </c>
      <c r="B57" s="3" t="s">
        <v>195</v>
      </c>
      <c r="C57" s="3" t="s">
        <v>218</v>
      </c>
      <c r="D57" s="3" t="s">
        <v>129</v>
      </c>
      <c r="E57" s="3" t="s">
        <v>219</v>
      </c>
      <c r="F57" s="3" t="s">
        <v>220</v>
      </c>
      <c r="G57" s="3" t="s">
        <v>135</v>
      </c>
      <c r="H57" s="3" t="s">
        <v>199</v>
      </c>
      <c r="I57" s="4" t="s">
        <v>22</v>
      </c>
      <c r="J57" s="5" t="n">
        <v>46316</v>
      </c>
      <c r="K57" s="6" t="n">
        <f aca="false">IF(J57="","",WORKDAY(J57+4,1))</f>
        <v>46321</v>
      </c>
      <c r="L57" s="5" t="n">
        <v>46321</v>
      </c>
      <c r="M57" s="4"/>
      <c r="N57" s="4"/>
      <c r="O57" s="4" t="s">
        <v>22</v>
      </c>
    </row>
    <row r="58" customFormat="false" ht="15" hidden="false" customHeight="true" outlineLevel="0" collapsed="false">
      <c r="A58" s="3" t="n">
        <v>57</v>
      </c>
      <c r="B58" s="3" t="s">
        <v>195</v>
      </c>
      <c r="C58" s="3" t="s">
        <v>221</v>
      </c>
      <c r="D58" s="3" t="s">
        <v>99</v>
      </c>
      <c r="E58" s="3" t="s">
        <v>222</v>
      </c>
      <c r="F58" s="3" t="s">
        <v>223</v>
      </c>
      <c r="G58" s="3" t="s">
        <v>135</v>
      </c>
      <c r="H58" s="3" t="s">
        <v>199</v>
      </c>
      <c r="I58" s="4" t="s">
        <v>111</v>
      </c>
      <c r="J58" s="5"/>
      <c r="K58" s="6" t="str">
        <f aca="false">IF(J58="","",WORKDAY(J58+4,1))</f>
        <v/>
      </c>
      <c r="L58" s="5"/>
      <c r="M58" s="4"/>
      <c r="N58" s="4"/>
      <c r="O58" s="4" t="s">
        <v>224</v>
      </c>
    </row>
    <row r="59" customFormat="false" ht="15" hidden="false" customHeight="true" outlineLevel="0" collapsed="false">
      <c r="A59" s="3" t="n">
        <v>58</v>
      </c>
      <c r="B59" s="3" t="s">
        <v>225</v>
      </c>
      <c r="C59" s="3" t="s">
        <v>226</v>
      </c>
      <c r="D59" s="3" t="s">
        <v>17</v>
      </c>
      <c r="E59" s="3" t="s">
        <v>227</v>
      </c>
      <c r="F59" s="3" t="s">
        <v>228</v>
      </c>
      <c r="G59" s="3" t="s">
        <v>135</v>
      </c>
      <c r="H59" s="3" t="s">
        <v>229</v>
      </c>
      <c r="I59" s="4" t="s">
        <v>76</v>
      </c>
      <c r="J59" s="5" t="n">
        <v>46316</v>
      </c>
      <c r="K59" s="6" t="n">
        <f aca="false">IF(J59="","",WORKDAY(J59+4,1))</f>
        <v>46321</v>
      </c>
      <c r="L59" s="5"/>
      <c r="M59" s="4"/>
      <c r="N59" s="4"/>
      <c r="O59" s="4" t="s">
        <v>230</v>
      </c>
    </row>
    <row r="60" customFormat="false" ht="15" hidden="false" customHeight="true" outlineLevel="0" collapsed="false">
      <c r="A60" s="3" t="n">
        <v>59</v>
      </c>
      <c r="B60" s="3" t="s">
        <v>225</v>
      </c>
      <c r="C60" s="3" t="s">
        <v>231</v>
      </c>
      <c r="D60" s="3" t="s">
        <v>114</v>
      </c>
      <c r="E60" s="3" t="s">
        <v>232</v>
      </c>
      <c r="F60" s="3" t="s">
        <v>233</v>
      </c>
      <c r="G60" s="3" t="s">
        <v>135</v>
      </c>
      <c r="H60" s="3" t="s">
        <v>229</v>
      </c>
      <c r="I60" s="4" t="s">
        <v>22</v>
      </c>
      <c r="J60" s="5" t="n">
        <v>46316</v>
      </c>
      <c r="K60" s="6" t="n">
        <f aca="false">IF(J60="","",WORKDAY(J60+4,1))</f>
        <v>46321</v>
      </c>
      <c r="L60" s="5" t="n">
        <v>46321</v>
      </c>
      <c r="M60" s="4"/>
      <c r="N60" s="4"/>
      <c r="O60" s="4" t="s">
        <v>22</v>
      </c>
    </row>
    <row r="61" customFormat="false" ht="15" hidden="false" customHeight="true" outlineLevel="0" collapsed="false">
      <c r="A61" s="3" t="n">
        <v>60</v>
      </c>
      <c r="B61" s="3" t="s">
        <v>225</v>
      </c>
      <c r="C61" s="3" t="s">
        <v>234</v>
      </c>
      <c r="D61" s="3" t="s">
        <v>61</v>
      </c>
      <c r="E61" s="3" t="s">
        <v>235</v>
      </c>
      <c r="F61" s="3" t="s">
        <v>233</v>
      </c>
      <c r="G61" s="3" t="s">
        <v>135</v>
      </c>
      <c r="H61" s="3" t="s">
        <v>229</v>
      </c>
      <c r="I61" s="4" t="s">
        <v>22</v>
      </c>
      <c r="J61" s="5" t="n">
        <v>46316</v>
      </c>
      <c r="K61" s="6" t="n">
        <f aca="false">IF(J61="","",WORKDAY(J61+4,1))</f>
        <v>46321</v>
      </c>
      <c r="L61" s="5" t="n">
        <v>46321</v>
      </c>
      <c r="M61" s="4"/>
      <c r="N61" s="4"/>
      <c r="O61" s="4" t="s">
        <v>22</v>
      </c>
    </row>
    <row r="62" customFormat="false" ht="15" hidden="false" customHeight="true" outlineLevel="0" collapsed="false">
      <c r="A62" s="3" t="n">
        <v>61</v>
      </c>
      <c r="B62" s="3" t="s">
        <v>225</v>
      </c>
      <c r="C62" s="3" t="s">
        <v>236</v>
      </c>
      <c r="D62" s="3" t="s">
        <v>86</v>
      </c>
      <c r="E62" s="3" t="s">
        <v>237</v>
      </c>
      <c r="F62" s="3" t="s">
        <v>233</v>
      </c>
      <c r="G62" s="3" t="s">
        <v>135</v>
      </c>
      <c r="H62" s="3" t="s">
        <v>229</v>
      </c>
      <c r="I62" s="4" t="s">
        <v>22</v>
      </c>
      <c r="J62" s="5" t="n">
        <v>46316</v>
      </c>
      <c r="K62" s="6" t="n">
        <f aca="false">IF(J62="","",WORKDAY(J62+4,1))</f>
        <v>46321</v>
      </c>
      <c r="L62" s="5" t="n">
        <v>46321</v>
      </c>
      <c r="M62" s="4"/>
      <c r="N62" s="4"/>
      <c r="O62" s="4" t="s">
        <v>22</v>
      </c>
    </row>
    <row r="63" customFormat="false" ht="15" hidden="false" customHeight="true" outlineLevel="0" collapsed="false">
      <c r="A63" s="3" t="n">
        <v>62</v>
      </c>
      <c r="B63" s="3" t="s">
        <v>225</v>
      </c>
      <c r="C63" s="3" t="s">
        <v>238</v>
      </c>
      <c r="D63" s="3" t="s">
        <v>61</v>
      </c>
      <c r="E63" s="3" t="s">
        <v>239</v>
      </c>
      <c r="F63" s="3" t="s">
        <v>233</v>
      </c>
      <c r="G63" s="3" t="s">
        <v>135</v>
      </c>
      <c r="H63" s="3" t="s">
        <v>229</v>
      </c>
      <c r="I63" s="4" t="s">
        <v>22</v>
      </c>
      <c r="J63" s="5" t="n">
        <v>46316</v>
      </c>
      <c r="K63" s="6" t="n">
        <f aca="false">IF(J63="","",WORKDAY(J63+4,1))</f>
        <v>46321</v>
      </c>
      <c r="L63" s="5" t="n">
        <v>46321</v>
      </c>
      <c r="M63" s="4"/>
      <c r="N63" s="4"/>
      <c r="O63" s="4" t="s">
        <v>22</v>
      </c>
    </row>
    <row r="64" customFormat="false" ht="15" hidden="false" customHeight="true" outlineLevel="0" collapsed="false">
      <c r="A64" s="3" t="n">
        <v>63</v>
      </c>
      <c r="B64" s="3" t="s">
        <v>225</v>
      </c>
      <c r="C64" s="3" t="s">
        <v>240</v>
      </c>
      <c r="D64" s="3" t="s">
        <v>129</v>
      </c>
      <c r="E64" s="3" t="s">
        <v>241</v>
      </c>
      <c r="F64" s="3" t="s">
        <v>233</v>
      </c>
      <c r="G64" s="3" t="s">
        <v>135</v>
      </c>
      <c r="H64" s="3" t="s">
        <v>229</v>
      </c>
      <c r="I64" s="4" t="s">
        <v>22</v>
      </c>
      <c r="J64" s="5" t="n">
        <v>46316</v>
      </c>
      <c r="K64" s="6" t="n">
        <f aca="false">IF(J64="","",WORKDAY(J64+4,1))</f>
        <v>46321</v>
      </c>
      <c r="L64" s="5" t="n">
        <v>46321</v>
      </c>
      <c r="M64" s="4"/>
      <c r="N64" s="4"/>
      <c r="O64" s="4" t="s">
        <v>22</v>
      </c>
    </row>
    <row r="65" customFormat="false" ht="15" hidden="false" customHeight="true" outlineLevel="0" collapsed="false">
      <c r="A65" s="3" t="n">
        <v>64</v>
      </c>
      <c r="B65" s="3" t="s">
        <v>225</v>
      </c>
      <c r="C65" s="3" t="s">
        <v>242</v>
      </c>
      <c r="D65" s="3" t="s">
        <v>99</v>
      </c>
      <c r="E65" s="3" t="s">
        <v>243</v>
      </c>
      <c r="F65" s="3" t="s">
        <v>233</v>
      </c>
      <c r="G65" s="3" t="s">
        <v>135</v>
      </c>
      <c r="H65" s="3" t="s">
        <v>229</v>
      </c>
      <c r="I65" s="4" t="s">
        <v>22</v>
      </c>
      <c r="J65" s="5" t="n">
        <v>46316</v>
      </c>
      <c r="K65" s="6" t="n">
        <f aca="false">IF(J65="","",WORKDAY(J65+4,1))</f>
        <v>46321</v>
      </c>
      <c r="L65" s="5" t="n">
        <v>46321</v>
      </c>
      <c r="M65" s="4"/>
      <c r="N65" s="4"/>
      <c r="O65" s="4" t="s">
        <v>22</v>
      </c>
    </row>
    <row r="66" customFormat="false" ht="15" hidden="false" customHeight="true" outlineLevel="0" collapsed="false">
      <c r="A66" s="3" t="n">
        <v>65</v>
      </c>
      <c r="B66" s="3" t="s">
        <v>225</v>
      </c>
      <c r="C66" s="3" t="s">
        <v>244</v>
      </c>
      <c r="D66" s="3" t="s">
        <v>89</v>
      </c>
      <c r="E66" s="3" t="s">
        <v>245</v>
      </c>
      <c r="F66" s="3" t="s">
        <v>246</v>
      </c>
      <c r="G66" s="3" t="s">
        <v>135</v>
      </c>
      <c r="H66" s="3" t="s">
        <v>229</v>
      </c>
      <c r="I66" s="4" t="s">
        <v>111</v>
      </c>
      <c r="J66" s="5"/>
      <c r="K66" s="6" t="str">
        <f aca="false">IF(J66="","",WORKDAY(J66+4,1))</f>
        <v/>
      </c>
      <c r="L66" s="5"/>
      <c r="M66" s="4"/>
      <c r="N66" s="4"/>
      <c r="O66" s="4" t="s">
        <v>224</v>
      </c>
    </row>
    <row r="67" customFormat="false" ht="15" hidden="false" customHeight="true" outlineLevel="0" collapsed="false">
      <c r="A67" s="3" t="n">
        <v>66</v>
      </c>
      <c r="B67" s="3" t="s">
        <v>247</v>
      </c>
      <c r="C67" s="3" t="s">
        <v>248</v>
      </c>
      <c r="D67" s="3" t="s">
        <v>17</v>
      </c>
      <c r="E67" s="3" t="s">
        <v>249</v>
      </c>
      <c r="F67" s="3" t="s">
        <v>250</v>
      </c>
      <c r="G67" s="3" t="s">
        <v>251</v>
      </c>
      <c r="H67" s="3" t="s">
        <v>252</v>
      </c>
      <c r="I67" s="4" t="s">
        <v>66</v>
      </c>
      <c r="J67" s="5" t="n">
        <v>46317</v>
      </c>
      <c r="K67" s="6" t="n">
        <f aca="false">IF(J67="","",WORKDAY(J67+4,1))</f>
        <v>46322</v>
      </c>
      <c r="L67" s="5"/>
      <c r="M67" s="4"/>
      <c r="N67" s="4"/>
      <c r="O67" s="4" t="s">
        <v>253</v>
      </c>
    </row>
    <row r="68" customFormat="false" ht="15" hidden="false" customHeight="true" outlineLevel="0" collapsed="false">
      <c r="A68" s="3" t="n">
        <v>67</v>
      </c>
      <c r="B68" s="3" t="s">
        <v>247</v>
      </c>
      <c r="C68" s="3" t="s">
        <v>254</v>
      </c>
      <c r="D68" s="3" t="s">
        <v>17</v>
      </c>
      <c r="E68" s="3" t="s">
        <v>255</v>
      </c>
      <c r="F68" s="3" t="s">
        <v>256</v>
      </c>
      <c r="G68" s="3" t="s">
        <v>251</v>
      </c>
      <c r="H68" s="3" t="s">
        <v>257</v>
      </c>
      <c r="I68" s="4" t="s">
        <v>111</v>
      </c>
      <c r="J68" s="5"/>
      <c r="K68" s="6" t="str">
        <f aca="false">IF(J68="","",WORKDAY(J68+4,1))</f>
        <v/>
      </c>
      <c r="L68" s="5"/>
      <c r="M68" s="4"/>
      <c r="N68" s="4"/>
      <c r="O68" s="4" t="s">
        <v>224</v>
      </c>
    </row>
    <row r="69" customFormat="false" ht="15" hidden="false" customHeight="true" outlineLevel="0" collapsed="false">
      <c r="A69" s="3" t="n">
        <v>68</v>
      </c>
      <c r="B69" s="3" t="s">
        <v>247</v>
      </c>
      <c r="C69" s="3" t="s">
        <v>258</v>
      </c>
      <c r="D69" s="3" t="s">
        <v>69</v>
      </c>
      <c r="E69" s="3" t="s">
        <v>259</v>
      </c>
      <c r="F69" s="3" t="s">
        <v>260</v>
      </c>
      <c r="G69" s="3" t="s">
        <v>251</v>
      </c>
      <c r="H69" s="3" t="s">
        <v>257</v>
      </c>
      <c r="I69" s="4" t="s">
        <v>111</v>
      </c>
      <c r="J69" s="5"/>
      <c r="K69" s="6" t="str">
        <f aca="false">IF(J69="","",WORKDAY(J69+4,1))</f>
        <v/>
      </c>
      <c r="L69" s="5"/>
      <c r="M69" s="4"/>
      <c r="N69" s="4"/>
      <c r="O69" s="4" t="s">
        <v>224</v>
      </c>
    </row>
    <row r="70" customFormat="false" ht="15" hidden="false" customHeight="true" outlineLevel="0" collapsed="false">
      <c r="A70" s="3" t="n">
        <v>69</v>
      </c>
      <c r="B70" s="3" t="s">
        <v>247</v>
      </c>
      <c r="C70" s="3" t="s">
        <v>261</v>
      </c>
      <c r="D70" s="3" t="s">
        <v>17</v>
      </c>
      <c r="E70" s="3" t="s">
        <v>262</v>
      </c>
      <c r="F70" s="3" t="s">
        <v>263</v>
      </c>
      <c r="G70" s="3" t="s">
        <v>251</v>
      </c>
      <c r="H70" s="3" t="s">
        <v>257</v>
      </c>
      <c r="I70" s="4" t="s">
        <v>111</v>
      </c>
      <c r="J70" s="5"/>
      <c r="K70" s="6" t="str">
        <f aca="false">IF(J70="","",WORKDAY(J70+4,1))</f>
        <v/>
      </c>
      <c r="L70" s="5"/>
      <c r="M70" s="4"/>
      <c r="N70" s="4"/>
      <c r="O70" s="4" t="s">
        <v>224</v>
      </c>
    </row>
    <row r="71" customFormat="false" ht="15" hidden="false" customHeight="true" outlineLevel="0" collapsed="false">
      <c r="A71" s="3" t="n">
        <v>70</v>
      </c>
      <c r="B71" s="3" t="s">
        <v>247</v>
      </c>
      <c r="C71" s="3" t="s">
        <v>264</v>
      </c>
      <c r="D71" s="3" t="s">
        <v>86</v>
      </c>
      <c r="E71" s="3" t="s">
        <v>265</v>
      </c>
      <c r="F71" s="3" t="s">
        <v>266</v>
      </c>
      <c r="G71" s="3" t="s">
        <v>267</v>
      </c>
      <c r="H71" s="3" t="s">
        <v>268</v>
      </c>
      <c r="I71" s="4" t="s">
        <v>66</v>
      </c>
      <c r="J71" s="5" t="n">
        <v>46317</v>
      </c>
      <c r="K71" s="6" t="n">
        <f aca="false">IF(J71="","",WORKDAY(J71+4,1))</f>
        <v>46322</v>
      </c>
      <c r="L71" s="5"/>
      <c r="M71" s="4"/>
      <c r="N71" s="4"/>
      <c r="O71" s="4" t="s">
        <v>189</v>
      </c>
    </row>
    <row r="72" customFormat="false" ht="15" hidden="false" customHeight="true" outlineLevel="0" collapsed="false">
      <c r="A72" s="3" t="n">
        <v>71</v>
      </c>
      <c r="B72" s="3" t="s">
        <v>247</v>
      </c>
      <c r="C72" s="3" t="s">
        <v>269</v>
      </c>
      <c r="D72" s="3" t="s">
        <v>99</v>
      </c>
      <c r="E72" s="3" t="s">
        <v>270</v>
      </c>
      <c r="F72" s="3" t="s">
        <v>271</v>
      </c>
      <c r="G72" s="3" t="s">
        <v>251</v>
      </c>
      <c r="H72" s="3" t="s">
        <v>257</v>
      </c>
      <c r="I72" s="4" t="s">
        <v>111</v>
      </c>
      <c r="J72" s="5"/>
      <c r="K72" s="6" t="str">
        <f aca="false">IF(J72="","",WORKDAY(J72+4,1))</f>
        <v/>
      </c>
      <c r="L72" s="5"/>
      <c r="M72" s="4"/>
      <c r="N72" s="4"/>
      <c r="O72" s="4" t="s">
        <v>224</v>
      </c>
    </row>
    <row r="73" customFormat="false" ht="15" hidden="false" customHeight="true" outlineLevel="0" collapsed="false">
      <c r="A73" s="3" t="n">
        <v>72</v>
      </c>
      <c r="B73" s="3" t="s">
        <v>247</v>
      </c>
      <c r="C73" s="3" t="s">
        <v>272</v>
      </c>
      <c r="D73" s="3" t="s">
        <v>73</v>
      </c>
      <c r="E73" s="3" t="s">
        <v>273</v>
      </c>
      <c r="F73" s="3" t="s">
        <v>274</v>
      </c>
      <c r="G73" s="3" t="s">
        <v>251</v>
      </c>
      <c r="H73" s="3" t="s">
        <v>257</v>
      </c>
      <c r="I73" s="4" t="s">
        <v>66</v>
      </c>
      <c r="J73" s="5" t="n">
        <v>46317</v>
      </c>
      <c r="K73" s="6" t="n">
        <f aca="false">IF(J73="","",WORKDAY(J73+4,1))</f>
        <v>46322</v>
      </c>
      <c r="L73" s="5"/>
      <c r="M73" s="4"/>
      <c r="N73" s="4"/>
      <c r="O73" s="4" t="s">
        <v>189</v>
      </c>
    </row>
    <row r="74" customFormat="false" ht="15" hidden="false" customHeight="true" outlineLevel="0" collapsed="false">
      <c r="A74" s="3" t="n">
        <v>73</v>
      </c>
      <c r="B74" s="3" t="s">
        <v>247</v>
      </c>
      <c r="C74" s="3" t="s">
        <v>275</v>
      </c>
      <c r="D74" s="3" t="s">
        <v>61</v>
      </c>
      <c r="E74" s="3" t="s">
        <v>276</v>
      </c>
      <c r="F74" s="3" t="s">
        <v>277</v>
      </c>
      <c r="G74" s="3" t="s">
        <v>251</v>
      </c>
      <c r="H74" s="3" t="s">
        <v>257</v>
      </c>
      <c r="I74" s="4" t="s">
        <v>66</v>
      </c>
      <c r="J74" s="5" t="n">
        <v>46317</v>
      </c>
      <c r="K74" s="6" t="n">
        <f aca="false">IF(J74="","",WORKDAY(J74+4,1))</f>
        <v>46322</v>
      </c>
      <c r="L74" s="5"/>
      <c r="M74" s="4"/>
      <c r="N74" s="4"/>
      <c r="O74" s="4" t="s">
        <v>189</v>
      </c>
    </row>
    <row r="75" customFormat="false" ht="15" hidden="false" customHeight="true" outlineLevel="0" collapsed="false">
      <c r="A75" s="3" t="n">
        <v>74</v>
      </c>
      <c r="B75" s="3" t="s">
        <v>247</v>
      </c>
      <c r="C75" s="3" t="s">
        <v>278</v>
      </c>
      <c r="D75" s="3" t="s">
        <v>104</v>
      </c>
      <c r="E75" s="3" t="s">
        <v>279</v>
      </c>
      <c r="F75" s="3" t="s">
        <v>280</v>
      </c>
      <c r="G75" s="3" t="s">
        <v>267</v>
      </c>
      <c r="H75" s="3" t="s">
        <v>281</v>
      </c>
      <c r="I75" s="4" t="s">
        <v>66</v>
      </c>
      <c r="J75" s="5" t="n">
        <v>46317</v>
      </c>
      <c r="K75" s="6" t="n">
        <f aca="false">IF(J75="","",WORKDAY(J75+4,1))</f>
        <v>46322</v>
      </c>
      <c r="L75" s="5"/>
      <c r="M75" s="4"/>
      <c r="N75" s="4"/>
      <c r="O75" s="4" t="s">
        <v>189</v>
      </c>
    </row>
    <row r="76" customFormat="false" ht="15" hidden="false" customHeight="true" outlineLevel="0" collapsed="false">
      <c r="A76" s="3" t="n">
        <v>75</v>
      </c>
      <c r="B76" s="3" t="s">
        <v>247</v>
      </c>
      <c r="C76" s="3" t="s">
        <v>282</v>
      </c>
      <c r="D76" s="3" t="s">
        <v>155</v>
      </c>
      <c r="E76" s="3" t="s">
        <v>283</v>
      </c>
      <c r="F76" s="3" t="s">
        <v>284</v>
      </c>
      <c r="G76" s="3" t="s">
        <v>251</v>
      </c>
      <c r="H76" s="3" t="s">
        <v>257</v>
      </c>
      <c r="I76" s="4" t="s">
        <v>111</v>
      </c>
      <c r="J76" s="5"/>
      <c r="K76" s="6" t="str">
        <f aca="false">IF(J76="","",WORKDAY(J76+4,1))</f>
        <v/>
      </c>
      <c r="L76" s="5"/>
      <c r="M76" s="4"/>
      <c r="N76" s="4"/>
      <c r="O76" s="4" t="s">
        <v>224</v>
      </c>
    </row>
    <row r="77" customFormat="false" ht="15" hidden="false" customHeight="true" outlineLevel="0" collapsed="false">
      <c r="A77" s="3" t="n">
        <v>76</v>
      </c>
      <c r="B77" s="3" t="s">
        <v>247</v>
      </c>
      <c r="C77" s="3" t="s">
        <v>285</v>
      </c>
      <c r="D77" s="3" t="s">
        <v>114</v>
      </c>
      <c r="E77" s="3" t="s">
        <v>286</v>
      </c>
      <c r="F77" s="3" t="s">
        <v>287</v>
      </c>
      <c r="G77" s="3" t="s">
        <v>251</v>
      </c>
      <c r="H77" s="3" t="s">
        <v>257</v>
      </c>
      <c r="I77" s="4" t="s">
        <v>111</v>
      </c>
      <c r="J77" s="5"/>
      <c r="K77" s="6" t="str">
        <f aca="false">IF(J77="","",WORKDAY(J77+4,1))</f>
        <v/>
      </c>
      <c r="L77" s="5"/>
      <c r="M77" s="4"/>
      <c r="N77" s="4"/>
      <c r="O77" s="4" t="s">
        <v>224</v>
      </c>
    </row>
    <row r="78" customFormat="false" ht="15" hidden="false" customHeight="true" outlineLevel="0" collapsed="false">
      <c r="A78" s="3" t="n">
        <v>77</v>
      </c>
      <c r="B78" s="3" t="s">
        <v>15</v>
      </c>
      <c r="C78" s="3" t="s">
        <v>288</v>
      </c>
      <c r="D78" s="3" t="s">
        <v>17</v>
      </c>
      <c r="E78" s="3" t="s">
        <v>289</v>
      </c>
      <c r="F78" s="3" t="s">
        <v>290</v>
      </c>
      <c r="G78" s="3" t="s">
        <v>291</v>
      </c>
      <c r="H78" s="3" t="s">
        <v>21</v>
      </c>
      <c r="I78" s="4" t="s">
        <v>76</v>
      </c>
      <c r="J78" s="5" t="n">
        <v>46317</v>
      </c>
      <c r="K78" s="6" t="n">
        <f aca="false">IF(J78="","",WORKDAY(J78+4,1))</f>
        <v>46322</v>
      </c>
      <c r="L78" s="5"/>
      <c r="M78" s="4"/>
      <c r="N78" s="4"/>
      <c r="O78" s="4" t="s">
        <v>292</v>
      </c>
    </row>
    <row r="79" customFormat="false" ht="15" hidden="false" customHeight="true" outlineLevel="0" collapsed="false">
      <c r="A79" s="3" t="n">
        <v>78</v>
      </c>
      <c r="B79" s="3" t="s">
        <v>15</v>
      </c>
      <c r="C79" s="3" t="s">
        <v>293</v>
      </c>
      <c r="D79" s="3" t="s">
        <v>17</v>
      </c>
      <c r="E79" s="3" t="s">
        <v>294</v>
      </c>
      <c r="F79" s="3" t="s">
        <v>295</v>
      </c>
      <c r="G79" s="3" t="s">
        <v>296</v>
      </c>
      <c r="H79" s="3" t="s">
        <v>297</v>
      </c>
      <c r="I79" s="4" t="s">
        <v>111</v>
      </c>
      <c r="J79" s="5"/>
      <c r="K79" s="6" t="str">
        <f aca="false">IF(J79="","",WORKDAY(J79+4,1))</f>
        <v/>
      </c>
      <c r="L79" s="5"/>
      <c r="M79" s="4"/>
      <c r="N79" s="4"/>
      <c r="O79" s="4" t="s">
        <v>224</v>
      </c>
    </row>
    <row r="80" customFormat="false" ht="15" hidden="false" customHeight="true" outlineLevel="0" collapsed="false">
      <c r="A80" s="3" t="n">
        <v>79</v>
      </c>
      <c r="B80" s="3" t="s">
        <v>15</v>
      </c>
      <c r="C80" s="3" t="s">
        <v>298</v>
      </c>
      <c r="D80" s="3" t="s">
        <v>17</v>
      </c>
      <c r="E80" s="3" t="s">
        <v>299</v>
      </c>
      <c r="F80" s="3" t="s">
        <v>300</v>
      </c>
      <c r="G80" s="3" t="s">
        <v>37</v>
      </c>
      <c r="H80" s="3" t="s">
        <v>301</v>
      </c>
      <c r="I80" s="4" t="s">
        <v>66</v>
      </c>
      <c r="J80" s="5" t="n">
        <v>46317</v>
      </c>
      <c r="K80" s="6" t="n">
        <f aca="false">IF(J80="","",WORKDAY(J80+4,1))</f>
        <v>46322</v>
      </c>
      <c r="L80" s="5"/>
      <c r="M80" s="4"/>
      <c r="N80" s="4"/>
      <c r="O80" s="4" t="s">
        <v>302</v>
      </c>
    </row>
    <row r="81" customFormat="false" ht="15" hidden="false" customHeight="true" outlineLevel="0" collapsed="false">
      <c r="A81" s="3" t="n">
        <v>80</v>
      </c>
      <c r="B81" s="3" t="s">
        <v>15</v>
      </c>
      <c r="C81" s="3" t="s">
        <v>303</v>
      </c>
      <c r="D81" s="3" t="s">
        <v>99</v>
      </c>
      <c r="E81" s="3" t="s">
        <v>304</v>
      </c>
      <c r="F81" s="3" t="s">
        <v>305</v>
      </c>
      <c r="G81" s="3" t="s">
        <v>296</v>
      </c>
      <c r="H81" s="3" t="s">
        <v>297</v>
      </c>
      <c r="I81" s="4" t="s">
        <v>66</v>
      </c>
      <c r="J81" s="5" t="n">
        <v>46317</v>
      </c>
      <c r="K81" s="6" t="n">
        <f aca="false">IF(J81="","",WORKDAY(J81+4,1))</f>
        <v>46322</v>
      </c>
      <c r="L81" s="5"/>
      <c r="M81" s="4"/>
      <c r="N81" s="4"/>
      <c r="O81" s="4" t="s">
        <v>189</v>
      </c>
    </row>
    <row r="82" customFormat="false" ht="15" hidden="false" customHeight="true" outlineLevel="0" collapsed="false">
      <c r="A82" s="3" t="n">
        <v>81</v>
      </c>
      <c r="B82" s="3" t="s">
        <v>51</v>
      </c>
      <c r="C82" s="3" t="s">
        <v>306</v>
      </c>
      <c r="D82" s="3" t="s">
        <v>17</v>
      </c>
      <c r="E82" s="3" t="s">
        <v>307</v>
      </c>
      <c r="F82" s="3" t="s">
        <v>233</v>
      </c>
      <c r="G82" s="3" t="s">
        <v>64</v>
      </c>
      <c r="H82" s="3" t="s">
        <v>308</v>
      </c>
      <c r="I82" s="4" t="s">
        <v>66</v>
      </c>
      <c r="J82" s="5" t="n">
        <v>46317</v>
      </c>
      <c r="K82" s="6" t="n">
        <f aca="false">IF(J82="","",WORKDAY(J82+4,1))</f>
        <v>46322</v>
      </c>
      <c r="L82" s="5"/>
      <c r="M82" s="4"/>
      <c r="N82" s="4"/>
      <c r="O82" s="4" t="s">
        <v>189</v>
      </c>
    </row>
    <row r="83" customFormat="false" ht="15" hidden="false" customHeight="true" outlineLevel="0" collapsed="false">
      <c r="A83" s="3" t="n">
        <v>82</v>
      </c>
      <c r="B83" s="3" t="s">
        <v>51</v>
      </c>
      <c r="C83" s="3" t="s">
        <v>309</v>
      </c>
      <c r="D83" s="3" t="s">
        <v>17</v>
      </c>
      <c r="E83" s="3" t="s">
        <v>310</v>
      </c>
      <c r="F83" s="3" t="s">
        <v>311</v>
      </c>
      <c r="G83" s="3" t="s">
        <v>251</v>
      </c>
      <c r="H83" s="3" t="s">
        <v>312</v>
      </c>
      <c r="I83" s="4" t="s">
        <v>66</v>
      </c>
      <c r="J83" s="5" t="n">
        <v>46317</v>
      </c>
      <c r="K83" s="6" t="n">
        <f aca="false">IF(J83="","",WORKDAY(J83+4,1))</f>
        <v>46322</v>
      </c>
      <c r="L83" s="5"/>
      <c r="M83" s="4"/>
      <c r="N83" s="4"/>
      <c r="O83" s="4" t="s">
        <v>189</v>
      </c>
    </row>
    <row r="84" customFormat="false" ht="15" hidden="false" customHeight="true" outlineLevel="0" collapsed="false">
      <c r="A84" s="3" t="n">
        <v>83</v>
      </c>
      <c r="B84" s="3" t="s">
        <v>51</v>
      </c>
      <c r="C84" s="3" t="s">
        <v>313</v>
      </c>
      <c r="D84" s="3" t="s">
        <v>17</v>
      </c>
      <c r="E84" s="3" t="s">
        <v>314</v>
      </c>
      <c r="F84" s="3" t="s">
        <v>315</v>
      </c>
      <c r="G84" s="3" t="s">
        <v>316</v>
      </c>
      <c r="H84" s="3" t="s">
        <v>317</v>
      </c>
      <c r="I84" s="4" t="s">
        <v>66</v>
      </c>
      <c r="J84" s="5" t="n">
        <v>46317</v>
      </c>
      <c r="K84" s="6" t="n">
        <f aca="false">IF(J84="","",WORKDAY(J84+4,1))</f>
        <v>46322</v>
      </c>
      <c r="L84" s="5"/>
      <c r="M84" s="4"/>
      <c r="N84" s="4"/>
      <c r="O84" s="4" t="s">
        <v>189</v>
      </c>
    </row>
    <row r="85" customFormat="false" ht="15" hidden="false" customHeight="true" outlineLevel="0" collapsed="false">
      <c r="A85" s="3" t="n">
        <v>84</v>
      </c>
      <c r="B85" s="3" t="s">
        <v>318</v>
      </c>
      <c r="C85" s="3" t="s">
        <v>319</v>
      </c>
      <c r="D85" s="3" t="s">
        <v>17</v>
      </c>
      <c r="E85" s="3" t="s">
        <v>320</v>
      </c>
      <c r="F85" s="3" t="s">
        <v>321</v>
      </c>
      <c r="G85" s="3" t="s">
        <v>135</v>
      </c>
      <c r="H85" s="3" t="s">
        <v>322</v>
      </c>
      <c r="I85" s="4" t="s">
        <v>66</v>
      </c>
      <c r="J85" s="5" t="n">
        <v>46317</v>
      </c>
      <c r="K85" s="6" t="n">
        <f aca="false">IF(J85="","",WORKDAY(J85+4,1))</f>
        <v>46322</v>
      </c>
      <c r="L85" s="5"/>
      <c r="M85" s="4"/>
      <c r="N85" s="4"/>
      <c r="O85" s="4" t="s">
        <v>189</v>
      </c>
    </row>
    <row r="86" customFormat="false" ht="15" hidden="false" customHeight="true" outlineLevel="0" collapsed="false">
      <c r="A86" s="3" t="n">
        <v>85</v>
      </c>
      <c r="B86" s="3" t="s">
        <v>318</v>
      </c>
      <c r="C86" s="3" t="s">
        <v>323</v>
      </c>
      <c r="D86" s="3" t="s">
        <v>104</v>
      </c>
      <c r="E86" s="3" t="s">
        <v>324</v>
      </c>
      <c r="F86" s="3" t="s">
        <v>325</v>
      </c>
      <c r="G86" s="3" t="s">
        <v>135</v>
      </c>
      <c r="H86" s="3" t="s">
        <v>322</v>
      </c>
      <c r="I86" s="4" t="s">
        <v>66</v>
      </c>
      <c r="J86" s="5" t="n">
        <v>46318</v>
      </c>
      <c r="K86" s="6" t="n">
        <f aca="false">IF(J86="","",WORKDAY(J86+4,1))</f>
        <v>46323</v>
      </c>
      <c r="L86" s="5"/>
      <c r="M86" s="4"/>
      <c r="N86" s="4"/>
      <c r="O86" s="4" t="s">
        <v>67</v>
      </c>
    </row>
    <row r="87" customFormat="false" ht="15" hidden="false" customHeight="true" outlineLevel="0" collapsed="false">
      <c r="A87" s="3" t="n">
        <v>86</v>
      </c>
      <c r="B87" s="3" t="s">
        <v>318</v>
      </c>
      <c r="C87" s="3" t="s">
        <v>326</v>
      </c>
      <c r="D87" s="3" t="s">
        <v>17</v>
      </c>
      <c r="E87" s="3" t="s">
        <v>327</v>
      </c>
      <c r="F87" s="3" t="s">
        <v>328</v>
      </c>
      <c r="G87" s="3" t="s">
        <v>329</v>
      </c>
      <c r="H87" s="3" t="s">
        <v>330</v>
      </c>
      <c r="I87" s="4" t="s">
        <v>66</v>
      </c>
      <c r="J87" s="5" t="n">
        <v>46318</v>
      </c>
      <c r="K87" s="6" t="n">
        <f aca="false">IF(J87="","",WORKDAY(J87+4,1))</f>
        <v>46323</v>
      </c>
      <c r="L87" s="5"/>
      <c r="M87" s="4"/>
      <c r="N87" s="4"/>
      <c r="O87" s="4" t="s">
        <v>67</v>
      </c>
    </row>
    <row r="88" customFormat="false" ht="15" hidden="false" customHeight="true" outlineLevel="0" collapsed="false">
      <c r="A88" s="3" t="n">
        <v>87</v>
      </c>
      <c r="B88" s="3" t="s">
        <v>43</v>
      </c>
      <c r="C88" s="3" t="s">
        <v>331</v>
      </c>
      <c r="D88" s="3" t="s">
        <v>61</v>
      </c>
      <c r="E88" s="3" t="s">
        <v>332</v>
      </c>
      <c r="F88" s="3" t="s">
        <v>171</v>
      </c>
      <c r="G88" s="3" t="s">
        <v>333</v>
      </c>
      <c r="H88" s="3" t="s">
        <v>334</v>
      </c>
      <c r="I88" s="4" t="s">
        <v>66</v>
      </c>
      <c r="J88" s="5" t="n">
        <v>46318</v>
      </c>
      <c r="K88" s="6" t="n">
        <f aca="false">IF(J88="","",WORKDAY(J88+4,1))</f>
        <v>46323</v>
      </c>
      <c r="L88" s="5"/>
      <c r="M88" s="4"/>
      <c r="N88" s="4"/>
      <c r="O88" s="4" t="s">
        <v>335</v>
      </c>
    </row>
    <row r="89" customFormat="false" ht="15" hidden="false" customHeight="true" outlineLevel="0" collapsed="false">
      <c r="A89" s="3" t="n">
        <v>88</v>
      </c>
      <c r="B89" s="3" t="s">
        <v>43</v>
      </c>
      <c r="C89" s="3" t="s">
        <v>336</v>
      </c>
      <c r="D89" s="3" t="s">
        <v>17</v>
      </c>
      <c r="E89" s="3" t="s">
        <v>337</v>
      </c>
      <c r="F89" s="3" t="s">
        <v>338</v>
      </c>
      <c r="G89" s="3" t="s">
        <v>333</v>
      </c>
      <c r="H89" s="3" t="s">
        <v>334</v>
      </c>
      <c r="I89" s="4" t="s">
        <v>111</v>
      </c>
      <c r="J89" s="5"/>
      <c r="K89" s="6" t="str">
        <f aca="false">IF(J89="","",WORKDAY(J89+4,1))</f>
        <v/>
      </c>
      <c r="L89" s="5"/>
      <c r="M89" s="4"/>
      <c r="N89" s="4"/>
      <c r="O89" s="4" t="s">
        <v>339</v>
      </c>
    </row>
    <row r="90" customFormat="false" ht="15" hidden="false" customHeight="true" outlineLevel="0" collapsed="false">
      <c r="A90" s="3" t="n">
        <v>89</v>
      </c>
      <c r="B90" s="3" t="s">
        <v>131</v>
      </c>
      <c r="C90" s="3" t="s">
        <v>340</v>
      </c>
      <c r="D90" s="3" t="s">
        <v>73</v>
      </c>
      <c r="E90" s="3" t="s">
        <v>341</v>
      </c>
      <c r="F90" s="3" t="s">
        <v>342</v>
      </c>
      <c r="G90" s="3" t="s">
        <v>135</v>
      </c>
      <c r="H90" s="3" t="s">
        <v>199</v>
      </c>
      <c r="I90" s="4" t="s">
        <v>111</v>
      </c>
      <c r="J90" s="5"/>
      <c r="K90" s="6" t="str">
        <f aca="false">IF(J90="","",WORKDAY(J90+4,1))</f>
        <v/>
      </c>
      <c r="L90" s="5"/>
      <c r="M90" s="4"/>
      <c r="N90" s="4"/>
      <c r="O90" s="4" t="s">
        <v>224</v>
      </c>
    </row>
    <row r="91" customFormat="false" ht="15" hidden="false" customHeight="true" outlineLevel="0" collapsed="false">
      <c r="A91" s="3" t="n">
        <v>90</v>
      </c>
      <c r="B91" s="3" t="s">
        <v>131</v>
      </c>
      <c r="C91" s="3" t="s">
        <v>343</v>
      </c>
      <c r="D91" s="3" t="s">
        <v>73</v>
      </c>
      <c r="E91" s="3" t="s">
        <v>344</v>
      </c>
      <c r="F91" s="3" t="s">
        <v>345</v>
      </c>
      <c r="G91" s="3" t="s">
        <v>135</v>
      </c>
      <c r="H91" s="3" t="s">
        <v>199</v>
      </c>
      <c r="I91" s="4" t="s">
        <v>111</v>
      </c>
      <c r="J91" s="5"/>
      <c r="K91" s="6" t="str">
        <f aca="false">IF(J91="","",WORKDAY(J91+4,1))</f>
        <v/>
      </c>
      <c r="L91" s="5"/>
      <c r="M91" s="4"/>
      <c r="N91" s="4"/>
      <c r="O91" s="4" t="s">
        <v>224</v>
      </c>
    </row>
    <row r="92" customFormat="false" ht="15" hidden="false" customHeight="true" outlineLevel="0" collapsed="false">
      <c r="A92" s="3" t="n">
        <v>91</v>
      </c>
      <c r="B92" s="3" t="s">
        <v>131</v>
      </c>
      <c r="C92" s="3" t="s">
        <v>346</v>
      </c>
      <c r="D92" s="3" t="s">
        <v>61</v>
      </c>
      <c r="E92" s="3" t="s">
        <v>347</v>
      </c>
      <c r="F92" s="3" t="s">
        <v>348</v>
      </c>
      <c r="G92" s="3" t="s">
        <v>135</v>
      </c>
      <c r="H92" s="3" t="s">
        <v>199</v>
      </c>
      <c r="I92" s="4" t="s">
        <v>111</v>
      </c>
      <c r="J92" s="5"/>
      <c r="K92" s="6" t="str">
        <f aca="false">IF(J92="","",WORKDAY(J92+4,1))</f>
        <v/>
      </c>
      <c r="L92" s="5"/>
      <c r="M92" s="4"/>
      <c r="N92" s="4"/>
      <c r="O92" s="4" t="s">
        <v>224</v>
      </c>
    </row>
    <row r="93" customFormat="false" ht="15" hidden="false" customHeight="true" outlineLevel="0" collapsed="false">
      <c r="A93" s="3" t="n">
        <v>92</v>
      </c>
      <c r="B93" s="3" t="s">
        <v>131</v>
      </c>
      <c r="C93" s="3" t="s">
        <v>349</v>
      </c>
      <c r="D93" s="3" t="s">
        <v>73</v>
      </c>
      <c r="E93" s="3" t="s">
        <v>350</v>
      </c>
      <c r="F93" s="3" t="s">
        <v>351</v>
      </c>
      <c r="G93" s="3" t="s">
        <v>135</v>
      </c>
      <c r="H93" s="3" t="s">
        <v>199</v>
      </c>
      <c r="I93" s="4" t="s">
        <v>111</v>
      </c>
      <c r="J93" s="5"/>
      <c r="K93" s="6" t="str">
        <f aca="false">IF(J93="","",WORKDAY(J93+4,1))</f>
        <v/>
      </c>
      <c r="L93" s="5"/>
      <c r="M93" s="4"/>
      <c r="N93" s="4"/>
      <c r="O93" s="4" t="s">
        <v>224</v>
      </c>
    </row>
    <row r="94" customFormat="false" ht="15" hidden="false" customHeight="true" outlineLevel="0" collapsed="false">
      <c r="A94" s="3" t="n">
        <v>93</v>
      </c>
      <c r="B94" s="3" t="s">
        <v>131</v>
      </c>
      <c r="C94" s="3" t="s">
        <v>352</v>
      </c>
      <c r="D94" s="3" t="s">
        <v>99</v>
      </c>
      <c r="E94" s="3" t="s">
        <v>353</v>
      </c>
      <c r="F94" s="3" t="s">
        <v>354</v>
      </c>
      <c r="G94" s="3" t="s">
        <v>135</v>
      </c>
      <c r="H94" s="3" t="s">
        <v>199</v>
      </c>
      <c r="I94" s="4" t="s">
        <v>111</v>
      </c>
      <c r="J94" s="5"/>
      <c r="K94" s="6" t="str">
        <f aca="false">IF(J94="","",WORKDAY(J94+4,1))</f>
        <v/>
      </c>
      <c r="L94" s="5"/>
      <c r="M94" s="4"/>
      <c r="N94" s="4"/>
      <c r="O94" s="4" t="s">
        <v>355</v>
      </c>
    </row>
    <row r="95" customFormat="false" ht="15" hidden="false" customHeight="true" outlineLevel="0" collapsed="false">
      <c r="A95" s="3" t="n">
        <v>94</v>
      </c>
      <c r="B95" s="3" t="s">
        <v>131</v>
      </c>
      <c r="C95" s="3" t="s">
        <v>356</v>
      </c>
      <c r="D95" s="3" t="s">
        <v>69</v>
      </c>
      <c r="E95" s="3" t="s">
        <v>357</v>
      </c>
      <c r="F95" s="3" t="s">
        <v>358</v>
      </c>
      <c r="G95" s="3" t="s">
        <v>135</v>
      </c>
      <c r="H95" s="3" t="s">
        <v>199</v>
      </c>
      <c r="I95" s="4" t="s">
        <v>111</v>
      </c>
      <c r="J95" s="5"/>
      <c r="K95" s="6" t="str">
        <f aca="false">IF(J95="","",WORKDAY(J95+4,1))</f>
        <v/>
      </c>
      <c r="L95" s="5"/>
      <c r="M95" s="4"/>
      <c r="N95" s="4"/>
      <c r="O95" s="4" t="s">
        <v>355</v>
      </c>
    </row>
    <row r="96" customFormat="false" ht="15" hidden="false" customHeight="true" outlineLevel="0" collapsed="false">
      <c r="A96" s="3" t="n">
        <v>95</v>
      </c>
      <c r="B96" s="3" t="s">
        <v>131</v>
      </c>
      <c r="C96" s="3" t="s">
        <v>359</v>
      </c>
      <c r="D96" s="3" t="s">
        <v>69</v>
      </c>
      <c r="E96" s="3" t="s">
        <v>360</v>
      </c>
      <c r="F96" s="3" t="s">
        <v>358</v>
      </c>
      <c r="G96" s="3" t="s">
        <v>135</v>
      </c>
      <c r="H96" s="3" t="s">
        <v>199</v>
      </c>
      <c r="I96" s="4" t="s">
        <v>111</v>
      </c>
      <c r="J96" s="5"/>
      <c r="K96" s="6" t="str">
        <f aca="false">IF(J96="","",WORKDAY(J96+4,1))</f>
        <v/>
      </c>
      <c r="L96" s="5"/>
      <c r="M96" s="4"/>
      <c r="N96" s="4"/>
      <c r="O96" s="4" t="s">
        <v>355</v>
      </c>
    </row>
    <row r="97" customFormat="false" ht="15" hidden="false" customHeight="true" outlineLevel="0" collapsed="false">
      <c r="A97" s="3" t="n">
        <v>96</v>
      </c>
      <c r="B97" s="3" t="s">
        <v>131</v>
      </c>
      <c r="C97" s="3" t="s">
        <v>361</v>
      </c>
      <c r="D97" s="3" t="s">
        <v>69</v>
      </c>
      <c r="E97" s="3" t="s">
        <v>362</v>
      </c>
      <c r="F97" s="3" t="s">
        <v>358</v>
      </c>
      <c r="G97" s="3" t="s">
        <v>135</v>
      </c>
      <c r="H97" s="3" t="s">
        <v>199</v>
      </c>
      <c r="I97" s="4" t="s">
        <v>111</v>
      </c>
      <c r="J97" s="5"/>
      <c r="K97" s="6" t="str">
        <f aca="false">IF(J97="","",WORKDAY(J97+4,1))</f>
        <v/>
      </c>
      <c r="L97" s="5"/>
      <c r="M97" s="4"/>
      <c r="N97" s="4"/>
      <c r="O97" s="4" t="s">
        <v>355</v>
      </c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4"/>
      <c r="J98" s="5"/>
      <c r="K98" s="6" t="str">
        <f aca="false">IF(J98="","",WORKDAY(J98+4,1))</f>
        <v/>
      </c>
      <c r="L98" s="5"/>
      <c r="M98" s="4"/>
      <c r="N98" s="4"/>
      <c r="O98" s="4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4"/>
      <c r="J99" s="5"/>
      <c r="K99" s="6" t="str">
        <f aca="false">IF(J99="","",WORKDAY(J99+4,1))</f>
        <v/>
      </c>
      <c r="L99" s="5"/>
      <c r="M99" s="4"/>
      <c r="N99" s="4"/>
      <c r="O99" s="4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4"/>
      <c r="J100" s="5"/>
      <c r="K100" s="6" t="str">
        <f aca="false">IF(J100="","",WORKDAY(J100+4,1))</f>
        <v/>
      </c>
      <c r="L100" s="5"/>
      <c r="M100" s="4"/>
      <c r="N100" s="4"/>
      <c r="O100" s="4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4"/>
      <c r="J101" s="5"/>
      <c r="K101" s="6" t="str">
        <f aca="false">IF(J101="","",WORKDAY(J101+4,1))</f>
        <v/>
      </c>
      <c r="L101" s="5"/>
      <c r="M101" s="4"/>
      <c r="N101" s="4"/>
      <c r="O101" s="4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4"/>
      <c r="J102" s="5"/>
      <c r="K102" s="6" t="str">
        <f aca="false">IF(J102="","",WORKDAY(J102+4,1))</f>
        <v/>
      </c>
      <c r="L102" s="5"/>
      <c r="M102" s="4"/>
      <c r="N102" s="4"/>
      <c r="O102" s="4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4"/>
      <c r="J103" s="5"/>
      <c r="K103" s="6" t="str">
        <f aca="false">IF(J103="","",WORKDAY(J103+4,1))</f>
        <v/>
      </c>
      <c r="L103" s="5"/>
      <c r="M103" s="4"/>
      <c r="N103" s="4"/>
      <c r="O103" s="4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4"/>
      <c r="J104" s="5"/>
      <c r="K104" s="6" t="str">
        <f aca="false">IF(J104="","",WORKDAY(J104+4,1))</f>
        <v/>
      </c>
      <c r="L104" s="5"/>
      <c r="M104" s="4"/>
      <c r="N104" s="4"/>
      <c r="O104" s="4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4"/>
      <c r="J105" s="5"/>
      <c r="K105" s="6" t="str">
        <f aca="false">IF(J105="","",WORKDAY(J105+4,1))</f>
        <v/>
      </c>
      <c r="L105" s="5"/>
      <c r="M105" s="4"/>
      <c r="N105" s="4"/>
      <c r="O105" s="4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4"/>
      <c r="J106" s="5"/>
      <c r="K106" s="6" t="str">
        <f aca="false">IF(J106="","",WORKDAY(J106+4,1))</f>
        <v/>
      </c>
      <c r="L106" s="5"/>
      <c r="M106" s="4"/>
      <c r="N106" s="4"/>
      <c r="O106" s="4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4"/>
      <c r="J107" s="5"/>
      <c r="K107" s="6" t="str">
        <f aca="false">IF(J107="","",WORKDAY(J107+4,1))</f>
        <v/>
      </c>
      <c r="L107" s="5"/>
      <c r="M107" s="4"/>
      <c r="N107" s="4"/>
      <c r="O107" s="4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4"/>
      <c r="J108" s="5"/>
      <c r="K108" s="6" t="str">
        <f aca="false">IF(J108="","",WORKDAY(J108+4,1))</f>
        <v/>
      </c>
      <c r="L108" s="5"/>
      <c r="M108" s="4"/>
      <c r="N108" s="4"/>
      <c r="O108" s="4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4"/>
      <c r="J109" s="5"/>
      <c r="K109" s="6" t="str">
        <f aca="false">IF(J109="","",WORKDAY(J109+4,1))</f>
        <v/>
      </c>
      <c r="L109" s="5"/>
      <c r="M109" s="4"/>
      <c r="N109" s="4"/>
      <c r="O109" s="4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4"/>
      <c r="J110" s="5"/>
      <c r="K110" s="6" t="str">
        <f aca="false">IF(J110="","",WORKDAY(J110+4,1))</f>
        <v/>
      </c>
      <c r="L110" s="5"/>
      <c r="M110" s="4"/>
      <c r="N110" s="4"/>
      <c r="O110" s="4"/>
    </row>
    <row r="111" customFormat="false" ht="1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4"/>
      <c r="J111" s="5"/>
      <c r="K111" s="6" t="str">
        <f aca="false">IF(J111="","",WORKDAY(J111+4,1))</f>
        <v/>
      </c>
      <c r="L111" s="5"/>
      <c r="M111" s="4"/>
      <c r="N111" s="4"/>
      <c r="O111" s="4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4"/>
      <c r="J112" s="5"/>
      <c r="K112" s="6" t="str">
        <f aca="false">IF(J112="","",WORKDAY(J112+4,1))</f>
        <v/>
      </c>
      <c r="L112" s="5"/>
      <c r="M112" s="4"/>
      <c r="N112" s="4"/>
      <c r="O112" s="4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4"/>
      <c r="J113" s="5"/>
      <c r="K113" s="6" t="str">
        <f aca="false">IF(J113="","",WORKDAY(J113+4,1))</f>
        <v/>
      </c>
      <c r="L113" s="5"/>
      <c r="M113" s="4"/>
      <c r="N113" s="4"/>
      <c r="O113" s="4"/>
    </row>
    <row r="114" customFormat="false" ht="1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4"/>
      <c r="J114" s="5"/>
      <c r="K114" s="6" t="str">
        <f aca="false">IF(J114="","",WORKDAY(J114+4,1))</f>
        <v/>
      </c>
      <c r="L114" s="5"/>
      <c r="M114" s="4"/>
      <c r="N114" s="4"/>
      <c r="O114" s="4"/>
    </row>
    <row r="115" customFormat="false" ht="1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4"/>
      <c r="J115" s="5"/>
      <c r="K115" s="6" t="str">
        <f aca="false">IF(J115="","",WORKDAY(J115+4,1))</f>
        <v/>
      </c>
      <c r="L115" s="5"/>
      <c r="M115" s="4"/>
      <c r="N115" s="4"/>
      <c r="O115" s="4"/>
    </row>
    <row r="116" customFormat="false" ht="1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4"/>
      <c r="J116" s="5"/>
      <c r="K116" s="6" t="str">
        <f aca="false">IF(J116="","",WORKDAY(J116+4,1))</f>
        <v/>
      </c>
      <c r="L116" s="5"/>
      <c r="M116" s="4"/>
      <c r="N116" s="4"/>
      <c r="O116" s="4"/>
    </row>
    <row r="117" customFormat="false" ht="1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4"/>
      <c r="J117" s="5"/>
      <c r="K117" s="6" t="str">
        <f aca="false">IF(J117="","",WORKDAY(J117+4,1))</f>
        <v/>
      </c>
      <c r="L117" s="5"/>
      <c r="M117" s="4"/>
      <c r="N117" s="4"/>
      <c r="O117" s="4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4"/>
      <c r="J118" s="5"/>
      <c r="K118" s="6" t="str">
        <f aca="false">IF(J118="","",WORKDAY(J118+4,1))</f>
        <v/>
      </c>
      <c r="L118" s="5"/>
      <c r="M118" s="4"/>
      <c r="N118" s="4"/>
      <c r="O118" s="4"/>
    </row>
    <row r="119" customFormat="false" ht="1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4"/>
      <c r="J119" s="5"/>
      <c r="K119" s="6" t="str">
        <f aca="false">IF(J119="","",WORKDAY(J119+4,1))</f>
        <v/>
      </c>
      <c r="L119" s="5"/>
      <c r="M119" s="4"/>
      <c r="N119" s="4"/>
      <c r="O119" s="4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4"/>
      <c r="J120" s="5"/>
      <c r="K120" s="6" t="str">
        <f aca="false">IF(J120="","",WORKDAY(J120+4,1))</f>
        <v/>
      </c>
      <c r="L120" s="5"/>
      <c r="M120" s="4"/>
      <c r="N120" s="4"/>
      <c r="O120" s="4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4"/>
      <c r="J121" s="5"/>
      <c r="K121" s="6" t="str">
        <f aca="false">IF(J121="","",WORKDAY(J121+4,1))</f>
        <v/>
      </c>
      <c r="L121" s="5"/>
      <c r="M121" s="4"/>
      <c r="N121" s="4"/>
      <c r="O121" s="4"/>
    </row>
    <row r="122" customFormat="false" ht="1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4"/>
      <c r="J122" s="5"/>
      <c r="K122" s="6" t="str">
        <f aca="false">IF(J122="","",WORKDAY(J122+4,1))</f>
        <v/>
      </c>
      <c r="L122" s="5"/>
      <c r="M122" s="4"/>
      <c r="N122" s="4"/>
      <c r="O122" s="4"/>
    </row>
    <row r="123" customFormat="false" ht="1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4"/>
      <c r="J123" s="5"/>
      <c r="K123" s="6" t="str">
        <f aca="false">IF(J123="","",WORKDAY(J123+4,1))</f>
        <v/>
      </c>
      <c r="L123" s="5"/>
      <c r="M123" s="4"/>
      <c r="N123" s="4"/>
      <c r="O123" s="4"/>
    </row>
    <row r="124" customFormat="false" ht="1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4"/>
      <c r="J124" s="5"/>
      <c r="K124" s="6" t="str">
        <f aca="false">IF(J124="","",WORKDAY(J124+4,1))</f>
        <v/>
      </c>
      <c r="L124" s="5"/>
      <c r="M124" s="4"/>
      <c r="N124" s="4"/>
      <c r="O124" s="4"/>
    </row>
    <row r="125" customFormat="false" ht="1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4"/>
      <c r="J125" s="5"/>
      <c r="K125" s="6" t="str">
        <f aca="false">IF(J125="","",WORKDAY(J125+4,1))</f>
        <v/>
      </c>
      <c r="L125" s="5"/>
      <c r="M125" s="4"/>
      <c r="N125" s="4"/>
      <c r="O125" s="4"/>
    </row>
    <row r="126" customFormat="false" ht="1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4"/>
      <c r="J126" s="5"/>
      <c r="K126" s="6" t="str">
        <f aca="false">IF(J126="","",WORKDAY(J126+4,1))</f>
        <v/>
      </c>
      <c r="L126" s="5"/>
      <c r="M126" s="4"/>
      <c r="N126" s="4"/>
      <c r="O126" s="4"/>
    </row>
    <row r="127" customFormat="false" ht="1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4"/>
      <c r="J127" s="5"/>
      <c r="K127" s="6" t="str">
        <f aca="false">IF(J127="","",WORKDAY(J127+4,1))</f>
        <v/>
      </c>
      <c r="L127" s="5"/>
      <c r="M127" s="4"/>
      <c r="N127" s="4"/>
      <c r="O127" s="4"/>
    </row>
    <row r="128" customFormat="false" ht="1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4"/>
      <c r="J128" s="5"/>
      <c r="K128" s="6" t="str">
        <f aca="false">IF(J128="","",WORKDAY(J128+4,1))</f>
        <v/>
      </c>
      <c r="L128" s="5"/>
      <c r="M128" s="4"/>
      <c r="N128" s="4"/>
      <c r="O128" s="4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4"/>
      <c r="J129" s="5"/>
      <c r="K129" s="6" t="str">
        <f aca="false">IF(J129="","",WORKDAY(J129+4,1))</f>
        <v/>
      </c>
      <c r="L129" s="5"/>
      <c r="M129" s="4"/>
      <c r="N129" s="4"/>
      <c r="O129" s="4"/>
    </row>
    <row r="130" customFormat="false" ht="1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4"/>
      <c r="J130" s="5"/>
      <c r="K130" s="6" t="str">
        <f aca="false">IF(J130="","",WORKDAY(J130+4,1))</f>
        <v/>
      </c>
      <c r="L130" s="5"/>
      <c r="M130" s="4"/>
      <c r="N130" s="4"/>
      <c r="O130" s="4"/>
    </row>
    <row r="131" customFormat="false" ht="1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4"/>
      <c r="J131" s="5"/>
      <c r="K131" s="6" t="str">
        <f aca="false">IF(J131="","",WORKDAY(J131+4,1))</f>
        <v/>
      </c>
      <c r="L131" s="5"/>
      <c r="M131" s="4"/>
      <c r="N131" s="4"/>
      <c r="O131" s="4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4"/>
      <c r="J132" s="5"/>
      <c r="K132" s="6" t="str">
        <f aca="false">IF(J132="","",WORKDAY(J132+4,1))</f>
        <v/>
      </c>
      <c r="L132" s="5"/>
      <c r="M132" s="4"/>
      <c r="N132" s="4"/>
      <c r="O132" s="4"/>
    </row>
    <row r="133" customFormat="false" ht="1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4"/>
      <c r="J133" s="5"/>
      <c r="K133" s="6" t="str">
        <f aca="false">IF(J133="","",WORKDAY(J133+4,1))</f>
        <v/>
      </c>
      <c r="L133" s="5"/>
      <c r="M133" s="4"/>
      <c r="N133" s="4"/>
      <c r="O133" s="4"/>
    </row>
    <row r="134" customFormat="false" ht="1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4"/>
      <c r="J134" s="5"/>
      <c r="K134" s="6" t="str">
        <f aca="false">IF(J134="","",WORKDAY(J134+4,1))</f>
        <v/>
      </c>
      <c r="L134" s="5"/>
      <c r="M134" s="4"/>
      <c r="N134" s="4"/>
      <c r="O134" s="4"/>
    </row>
    <row r="135" customFormat="false" ht="1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4"/>
      <c r="J135" s="5"/>
      <c r="K135" s="6" t="str">
        <f aca="false">IF(J135="","",WORKDAY(J135+4,1))</f>
        <v/>
      </c>
      <c r="L135" s="5"/>
      <c r="M135" s="4"/>
      <c r="N135" s="4"/>
      <c r="O135" s="4"/>
    </row>
    <row r="136" customFormat="false" ht="1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4"/>
      <c r="J136" s="5"/>
      <c r="K136" s="6" t="str">
        <f aca="false">IF(J136="","",WORKDAY(J136+4,1))</f>
        <v/>
      </c>
      <c r="L136" s="5"/>
      <c r="M136" s="4"/>
      <c r="N136" s="4"/>
      <c r="O136" s="4"/>
    </row>
    <row r="137" customFormat="false" ht="1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4"/>
      <c r="J137" s="5"/>
      <c r="K137" s="6" t="str">
        <f aca="false">IF(J137="","",WORKDAY(J137+4,1))</f>
        <v/>
      </c>
      <c r="L137" s="5"/>
      <c r="M137" s="4"/>
      <c r="N137" s="4"/>
      <c r="O137" s="4"/>
    </row>
    <row r="138" customFormat="false" ht="1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4"/>
      <c r="J138" s="5"/>
      <c r="K138" s="6" t="str">
        <f aca="false">IF(J138="","",WORKDAY(J138+4,1))</f>
        <v/>
      </c>
      <c r="L138" s="5"/>
      <c r="M138" s="4"/>
      <c r="N138" s="4"/>
      <c r="O138" s="4"/>
    </row>
    <row r="139" customFormat="false" ht="1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4"/>
      <c r="J139" s="5"/>
      <c r="K139" s="6" t="str">
        <f aca="false">IF(J139="","",WORKDAY(J139+4,1))</f>
        <v/>
      </c>
      <c r="L139" s="5"/>
      <c r="M139" s="4"/>
      <c r="N139" s="4"/>
      <c r="O139" s="4"/>
    </row>
    <row r="140" customFormat="false" ht="1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4"/>
      <c r="J140" s="5"/>
      <c r="K140" s="6" t="str">
        <f aca="false">IF(J140="","",WORKDAY(J140+4,1))</f>
        <v/>
      </c>
      <c r="L140" s="5"/>
      <c r="M140" s="4"/>
      <c r="N140" s="4"/>
      <c r="O140" s="4"/>
    </row>
    <row r="141" customFormat="false" ht="1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4"/>
      <c r="J141" s="5"/>
      <c r="K141" s="6" t="str">
        <f aca="false">IF(J141="","",WORKDAY(J141+4,1))</f>
        <v/>
      </c>
      <c r="L141" s="5"/>
      <c r="M141" s="4"/>
      <c r="N141" s="4"/>
      <c r="O141" s="4"/>
    </row>
    <row r="142" customFormat="false" ht="1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4"/>
      <c r="J142" s="5"/>
      <c r="K142" s="6" t="str">
        <f aca="false">IF(J142="","",WORKDAY(J142+4,1))</f>
        <v/>
      </c>
      <c r="L142" s="5"/>
      <c r="M142" s="4"/>
      <c r="N142" s="4"/>
      <c r="O142" s="4"/>
    </row>
    <row r="143" customFormat="false" ht="1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4"/>
      <c r="J143" s="5"/>
      <c r="K143" s="6" t="str">
        <f aca="false">IF(J143="","",WORKDAY(J143+4,1))</f>
        <v/>
      </c>
      <c r="L143" s="5"/>
      <c r="M143" s="4"/>
      <c r="N143" s="4"/>
      <c r="O143" s="4"/>
    </row>
    <row r="144" customFormat="false" ht="1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4"/>
      <c r="J144" s="5"/>
      <c r="K144" s="6" t="str">
        <f aca="false">IF(J144="","",WORKDAY(J144+4,1))</f>
        <v/>
      </c>
      <c r="L144" s="5"/>
      <c r="M144" s="4"/>
      <c r="N144" s="4"/>
      <c r="O144" s="4"/>
    </row>
    <row r="145" customFormat="false" ht="1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4"/>
      <c r="J145" s="5"/>
      <c r="K145" s="6" t="str">
        <f aca="false">IF(J145="","",WORKDAY(J145+4,1))</f>
        <v/>
      </c>
      <c r="L145" s="5"/>
      <c r="M145" s="4"/>
      <c r="N145" s="4"/>
      <c r="O145" s="4"/>
    </row>
    <row r="146" customFormat="false" ht="1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4"/>
      <c r="J146" s="5"/>
      <c r="K146" s="6" t="str">
        <f aca="false">IF(J146="","",WORKDAY(J146+4,1))</f>
        <v/>
      </c>
      <c r="L146" s="5"/>
      <c r="M146" s="4"/>
      <c r="N146" s="4"/>
      <c r="O146" s="4"/>
    </row>
    <row r="147" customFormat="false" ht="1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4"/>
      <c r="J147" s="5"/>
      <c r="K147" s="6" t="str">
        <f aca="false">IF(J147="","",WORKDAY(J147+4,1))</f>
        <v/>
      </c>
      <c r="L147" s="5"/>
      <c r="M147" s="4"/>
      <c r="N147" s="4"/>
      <c r="O147" s="4"/>
    </row>
    <row r="148" customFormat="false" ht="1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4"/>
      <c r="J148" s="5"/>
      <c r="K148" s="6" t="str">
        <f aca="false">IF(J148="","",WORKDAY(J148+4,1))</f>
        <v/>
      </c>
      <c r="L148" s="5"/>
      <c r="M148" s="4"/>
      <c r="N148" s="4"/>
      <c r="O148" s="4"/>
    </row>
    <row r="149" customFormat="false" ht="1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4"/>
      <c r="J149" s="5"/>
      <c r="K149" s="6" t="str">
        <f aca="false">IF(J149="","",WORKDAY(J149+4,1))</f>
        <v/>
      </c>
      <c r="L149" s="5"/>
      <c r="M149" s="4"/>
      <c r="N149" s="4"/>
      <c r="O149" s="4"/>
    </row>
    <row r="150" customFormat="false" ht="1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4"/>
      <c r="J150" s="5"/>
      <c r="K150" s="6" t="str">
        <f aca="false">IF(J150="","",WORKDAY(J150+4,1))</f>
        <v/>
      </c>
      <c r="L150" s="5"/>
      <c r="M150" s="4"/>
      <c r="N150" s="4"/>
      <c r="O150" s="4"/>
    </row>
    <row r="151" customFormat="false" ht="1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4"/>
      <c r="J151" s="5"/>
      <c r="K151" s="6" t="str">
        <f aca="false">IF(J151="","",WORKDAY(J151+4,1))</f>
        <v/>
      </c>
      <c r="L151" s="5"/>
      <c r="M151" s="4"/>
      <c r="N151" s="4"/>
      <c r="O151" s="4"/>
    </row>
    <row r="152" customFormat="false" ht="1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4"/>
      <c r="J152" s="5"/>
      <c r="K152" s="6" t="str">
        <f aca="false">IF(J152="","",WORKDAY(J152+4,1))</f>
        <v/>
      </c>
      <c r="L152" s="5"/>
      <c r="M152" s="4"/>
      <c r="N152" s="4"/>
      <c r="O152" s="4"/>
    </row>
    <row r="153" customFormat="false" ht="1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4"/>
      <c r="J153" s="5"/>
      <c r="K153" s="6" t="str">
        <f aca="false">IF(J153="","",WORKDAY(J153+4,1))</f>
        <v/>
      </c>
      <c r="L153" s="5"/>
      <c r="M153" s="4"/>
      <c r="N153" s="4"/>
      <c r="O153" s="4"/>
    </row>
    <row r="154" customFormat="false" ht="1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4"/>
      <c r="J154" s="5"/>
      <c r="K154" s="6" t="str">
        <f aca="false">IF(J154="","",WORKDAY(J154+4,1))</f>
        <v/>
      </c>
      <c r="L154" s="5"/>
      <c r="M154" s="4"/>
      <c r="N154" s="4"/>
      <c r="O154" s="4"/>
    </row>
    <row r="155" customFormat="false" ht="1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4"/>
      <c r="J155" s="5"/>
      <c r="K155" s="6" t="str">
        <f aca="false">IF(J155="","",WORKDAY(J155+4,1))</f>
        <v/>
      </c>
      <c r="L155" s="5"/>
      <c r="M155" s="4"/>
      <c r="N155" s="4"/>
      <c r="O155" s="4"/>
    </row>
    <row r="156" customFormat="false" ht="1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4"/>
      <c r="J156" s="5"/>
      <c r="K156" s="6" t="str">
        <f aca="false">IF(J156="","",WORKDAY(J156+4,1))</f>
        <v/>
      </c>
      <c r="L156" s="5"/>
      <c r="M156" s="4"/>
      <c r="N156" s="4"/>
      <c r="O156" s="4"/>
    </row>
    <row r="157" customFormat="false" ht="1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4"/>
      <c r="J157" s="5"/>
      <c r="K157" s="6" t="str">
        <f aca="false">IF(J157="","",WORKDAY(J157+4,1))</f>
        <v/>
      </c>
      <c r="L157" s="5"/>
      <c r="M157" s="4"/>
      <c r="N157" s="4"/>
      <c r="O157" s="4"/>
    </row>
    <row r="158" customFormat="false" ht="1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4"/>
      <c r="J158" s="5"/>
      <c r="K158" s="6" t="str">
        <f aca="false">IF(J158="","",WORKDAY(J158+4,1))</f>
        <v/>
      </c>
      <c r="L158" s="5"/>
      <c r="M158" s="4"/>
      <c r="N158" s="4"/>
      <c r="O158" s="4"/>
    </row>
    <row r="159" customFormat="false" ht="1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4"/>
      <c r="J159" s="5"/>
      <c r="K159" s="6" t="str">
        <f aca="false">IF(J159="","",WORKDAY(J159+4,1))</f>
        <v/>
      </c>
      <c r="L159" s="5"/>
      <c r="M159" s="4"/>
      <c r="N159" s="4"/>
      <c r="O159" s="4"/>
    </row>
    <row r="160" customFormat="false" ht="1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4"/>
      <c r="J160" s="5"/>
      <c r="K160" s="6" t="str">
        <f aca="false">IF(J160="","",WORKDAY(J160+4,1))</f>
        <v/>
      </c>
      <c r="L160" s="5"/>
      <c r="M160" s="4"/>
      <c r="N160" s="4"/>
      <c r="O160" s="4"/>
    </row>
    <row r="161" customFormat="false" ht="1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4"/>
      <c r="J161" s="5"/>
      <c r="K161" s="6" t="str">
        <f aca="false">IF(J161="","",WORKDAY(J161+4,1))</f>
        <v/>
      </c>
      <c r="L161" s="5"/>
      <c r="M161" s="4"/>
      <c r="N161" s="4"/>
      <c r="O161" s="4"/>
    </row>
    <row r="162" customFormat="false" ht="1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4"/>
      <c r="J162" s="5"/>
      <c r="K162" s="6" t="str">
        <f aca="false">IF(J162="","",WORKDAY(J162+4,1))</f>
        <v/>
      </c>
      <c r="L162" s="5"/>
      <c r="M162" s="4"/>
      <c r="N162" s="4"/>
      <c r="O162" s="4"/>
    </row>
    <row r="163" customFormat="false" ht="1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4"/>
      <c r="J163" s="5"/>
      <c r="K163" s="6" t="str">
        <f aca="false">IF(J163="","",WORKDAY(J163+4,1))</f>
        <v/>
      </c>
      <c r="L163" s="5"/>
      <c r="M163" s="4"/>
      <c r="N163" s="4"/>
      <c r="O163" s="4"/>
    </row>
    <row r="164" customFormat="false" ht="1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4"/>
      <c r="J164" s="5"/>
      <c r="K164" s="6" t="str">
        <f aca="false">IF(J164="","",WORKDAY(J164+4,1))</f>
        <v/>
      </c>
      <c r="L164" s="5"/>
      <c r="M164" s="4"/>
      <c r="N164" s="4"/>
      <c r="O164" s="4"/>
    </row>
    <row r="165" customFormat="false" ht="1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4"/>
      <c r="J165" s="5"/>
      <c r="K165" s="6" t="str">
        <f aca="false">IF(J165="","",WORKDAY(J165+4,1))</f>
        <v/>
      </c>
      <c r="L165" s="5"/>
      <c r="M165" s="4"/>
      <c r="N165" s="4"/>
      <c r="O165" s="4"/>
    </row>
    <row r="166" customFormat="false" ht="1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4"/>
      <c r="J166" s="5"/>
      <c r="K166" s="6" t="str">
        <f aca="false">IF(J166="","",WORKDAY(J166+4,1))</f>
        <v/>
      </c>
      <c r="L166" s="5"/>
      <c r="M166" s="4"/>
      <c r="N166" s="4"/>
      <c r="O166" s="4"/>
    </row>
    <row r="167" customFormat="false" ht="1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4"/>
      <c r="J167" s="5"/>
      <c r="K167" s="6" t="str">
        <f aca="false">IF(J167="","",WORKDAY(J167+4,1))</f>
        <v/>
      </c>
      <c r="L167" s="5"/>
      <c r="M167" s="4"/>
      <c r="N167" s="4"/>
      <c r="O167" s="4"/>
    </row>
    <row r="168" customFormat="false" ht="1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4"/>
      <c r="J168" s="5"/>
      <c r="K168" s="6" t="str">
        <f aca="false">IF(J168="","",WORKDAY(J168+4,1))</f>
        <v/>
      </c>
      <c r="L168" s="5"/>
      <c r="M168" s="4"/>
      <c r="N168" s="4"/>
      <c r="O168" s="4"/>
    </row>
    <row r="169" customFormat="false" ht="1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4"/>
      <c r="J169" s="5"/>
      <c r="K169" s="6" t="str">
        <f aca="false">IF(J169="","",WORKDAY(J169+4,1))</f>
        <v/>
      </c>
      <c r="L169" s="5"/>
      <c r="M169" s="4"/>
      <c r="N169" s="4"/>
      <c r="O169" s="4"/>
    </row>
    <row r="170" customFormat="false" ht="1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4"/>
      <c r="J170" s="5"/>
      <c r="K170" s="6" t="str">
        <f aca="false">IF(J170="","",WORKDAY(J170+4,1))</f>
        <v/>
      </c>
      <c r="L170" s="5"/>
      <c r="M170" s="4"/>
      <c r="N170" s="4"/>
      <c r="O170" s="4"/>
    </row>
    <row r="171" customFormat="false" ht="1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4"/>
      <c r="J171" s="5"/>
      <c r="K171" s="6" t="str">
        <f aca="false">IF(J171="","",WORKDAY(J171+4,1))</f>
        <v/>
      </c>
      <c r="L171" s="5"/>
      <c r="M171" s="4"/>
      <c r="N171" s="4"/>
      <c r="O171" s="4"/>
    </row>
    <row r="172" customFormat="false" ht="1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4"/>
      <c r="J172" s="5"/>
      <c r="K172" s="6" t="str">
        <f aca="false">IF(J172="","",WORKDAY(J172+4,1))</f>
        <v/>
      </c>
      <c r="L172" s="5"/>
      <c r="M172" s="4"/>
      <c r="N172" s="4"/>
      <c r="O172" s="4"/>
    </row>
    <row r="173" customFormat="false" ht="1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4"/>
      <c r="J173" s="5"/>
      <c r="K173" s="6" t="str">
        <f aca="false">IF(J173="","",WORKDAY(J173+4,1))</f>
        <v/>
      </c>
      <c r="L173" s="5"/>
      <c r="M173" s="4"/>
      <c r="N173" s="4"/>
      <c r="O173" s="4"/>
    </row>
    <row r="174" customFormat="false" ht="1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4"/>
      <c r="J174" s="5"/>
      <c r="K174" s="6" t="str">
        <f aca="false">IF(J174="","",WORKDAY(J174+4,1))</f>
        <v/>
      </c>
      <c r="L174" s="5"/>
      <c r="M174" s="4"/>
      <c r="N174" s="4"/>
      <c r="O174" s="4"/>
    </row>
    <row r="175" customFormat="false" ht="1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4"/>
      <c r="J175" s="5"/>
      <c r="K175" s="6" t="str">
        <f aca="false">IF(J175="","",WORKDAY(J175+4,1))</f>
        <v/>
      </c>
      <c r="L175" s="5"/>
      <c r="M175" s="4"/>
      <c r="N175" s="4"/>
      <c r="O175" s="4"/>
    </row>
    <row r="176" customFormat="false" ht="1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4"/>
      <c r="J176" s="5"/>
      <c r="K176" s="6" t="str">
        <f aca="false">IF(J176="","",WORKDAY(J176+4,1))</f>
        <v/>
      </c>
      <c r="L176" s="5"/>
      <c r="M176" s="4"/>
      <c r="N176" s="4"/>
      <c r="O176" s="4"/>
    </row>
    <row r="177" customFormat="false" ht="1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4"/>
      <c r="J177" s="5"/>
      <c r="K177" s="6" t="str">
        <f aca="false">IF(J177="","",WORKDAY(J177+4,1))</f>
        <v/>
      </c>
      <c r="L177" s="5"/>
      <c r="M177" s="4"/>
      <c r="N177" s="4"/>
      <c r="O177" s="4"/>
    </row>
    <row r="178" customFormat="false" ht="1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4"/>
      <c r="J178" s="5"/>
      <c r="K178" s="6" t="str">
        <f aca="false">IF(J178="","",WORKDAY(J178+4,1))</f>
        <v/>
      </c>
      <c r="L178" s="5"/>
      <c r="M178" s="4"/>
      <c r="N178" s="4"/>
      <c r="O178" s="4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4"/>
      <c r="J179" s="5"/>
      <c r="K179" s="6" t="str">
        <f aca="false">IF(J179="","",WORKDAY(J179+4,1))</f>
        <v/>
      </c>
      <c r="L179" s="5"/>
      <c r="M179" s="4"/>
      <c r="N179" s="4"/>
      <c r="O179" s="4"/>
    </row>
    <row r="180" customFormat="false" ht="1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4"/>
      <c r="J180" s="5"/>
      <c r="K180" s="6" t="str">
        <f aca="false">IF(J180="","",WORKDAY(J180+4,1))</f>
        <v/>
      </c>
      <c r="L180" s="5"/>
      <c r="M180" s="4"/>
      <c r="N180" s="4"/>
      <c r="O180" s="4"/>
    </row>
    <row r="181" customFormat="false" ht="1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4"/>
      <c r="J181" s="5"/>
      <c r="K181" s="6" t="str">
        <f aca="false">IF(J181="","",WORKDAY(J181+4,1))</f>
        <v/>
      </c>
      <c r="L181" s="5"/>
      <c r="M181" s="4"/>
      <c r="N181" s="4"/>
      <c r="O181" s="4"/>
    </row>
    <row r="182" customFormat="false" ht="1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4"/>
      <c r="J182" s="5"/>
      <c r="K182" s="6" t="str">
        <f aca="false">IF(J182="","",WORKDAY(J182+4,1))</f>
        <v/>
      </c>
      <c r="L182" s="5"/>
      <c r="M182" s="4"/>
      <c r="N182" s="4"/>
      <c r="O182" s="4"/>
    </row>
    <row r="183" customFormat="false" ht="1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4"/>
      <c r="J183" s="5"/>
      <c r="K183" s="6" t="str">
        <f aca="false">IF(J183="","",WORKDAY(J183+4,1))</f>
        <v/>
      </c>
      <c r="L183" s="5"/>
      <c r="M183" s="4"/>
      <c r="N183" s="4"/>
      <c r="O183" s="4"/>
    </row>
    <row r="184" customFormat="false" ht="1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4"/>
      <c r="J184" s="5"/>
      <c r="K184" s="6" t="str">
        <f aca="false">IF(J184="","",WORKDAY(J184+4,1))</f>
        <v/>
      </c>
      <c r="L184" s="5"/>
      <c r="M184" s="4"/>
      <c r="N184" s="4"/>
      <c r="O184" s="4"/>
    </row>
    <row r="185" customFormat="false" ht="1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4"/>
      <c r="J185" s="5"/>
      <c r="K185" s="6" t="str">
        <f aca="false">IF(J185="","",WORKDAY(J185+4,1))</f>
        <v/>
      </c>
      <c r="L185" s="5"/>
      <c r="M185" s="4"/>
      <c r="N185" s="4"/>
      <c r="O185" s="4"/>
    </row>
    <row r="186" customFormat="false" ht="1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4"/>
      <c r="J186" s="5"/>
      <c r="K186" s="6" t="str">
        <f aca="false">IF(J186="","",WORKDAY(J186+4,1))</f>
        <v/>
      </c>
      <c r="L186" s="5"/>
      <c r="M186" s="4"/>
      <c r="N186" s="4"/>
      <c r="O186" s="4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4"/>
      <c r="J187" s="5"/>
      <c r="K187" s="6" t="str">
        <f aca="false">IF(J187="","",WORKDAY(J187+4,1))</f>
        <v/>
      </c>
      <c r="L187" s="5"/>
      <c r="M187" s="4"/>
      <c r="N187" s="4"/>
      <c r="O187" s="4"/>
    </row>
    <row r="188" customFormat="false" ht="1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4"/>
      <c r="J188" s="5"/>
      <c r="K188" s="6" t="str">
        <f aca="false">IF(J188="","",WORKDAY(J188+4,1))</f>
        <v/>
      </c>
      <c r="L188" s="5"/>
      <c r="M188" s="4"/>
      <c r="N188" s="4"/>
      <c r="O188" s="4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4"/>
      <c r="J189" s="5"/>
      <c r="K189" s="6" t="str">
        <f aca="false">IF(J189="","",WORKDAY(J189+4,1))</f>
        <v/>
      </c>
      <c r="L189" s="5"/>
      <c r="M189" s="4"/>
      <c r="N189" s="4"/>
      <c r="O189" s="4"/>
    </row>
    <row r="190" customFormat="false" ht="1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4"/>
      <c r="J190" s="5"/>
      <c r="K190" s="6" t="str">
        <f aca="false">IF(J190="","",WORKDAY(J190+4,1))</f>
        <v/>
      </c>
      <c r="L190" s="5"/>
      <c r="M190" s="4"/>
      <c r="N190" s="4"/>
      <c r="O190" s="4"/>
    </row>
    <row r="191" customFormat="false" ht="1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4"/>
      <c r="J191" s="5"/>
      <c r="K191" s="6" t="str">
        <f aca="false">IF(J191="","",WORKDAY(J191+4,1))</f>
        <v/>
      </c>
      <c r="L191" s="5"/>
      <c r="M191" s="4"/>
      <c r="N191" s="4"/>
      <c r="O191" s="4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4"/>
      <c r="J192" s="5"/>
      <c r="K192" s="6" t="str">
        <f aca="false">IF(J192="","",WORKDAY(J192+4,1))</f>
        <v/>
      </c>
      <c r="L192" s="5"/>
      <c r="M192" s="4"/>
      <c r="N192" s="4"/>
      <c r="O192" s="4"/>
    </row>
    <row r="193" customFormat="false" ht="1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4"/>
      <c r="J193" s="5"/>
      <c r="K193" s="6" t="str">
        <f aca="false">IF(J193="","",WORKDAY(J193+4,1))</f>
        <v/>
      </c>
      <c r="L193" s="5"/>
      <c r="M193" s="4"/>
      <c r="N193" s="4"/>
      <c r="O193" s="4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4"/>
      <c r="J194" s="5"/>
      <c r="K194" s="6" t="str">
        <f aca="false">IF(J194="","",WORKDAY(J194+4,1))</f>
        <v/>
      </c>
      <c r="L194" s="5"/>
      <c r="M194" s="4"/>
      <c r="N194" s="4"/>
      <c r="O194" s="4"/>
    </row>
    <row r="195" customFormat="false" ht="1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4"/>
      <c r="J195" s="5"/>
      <c r="K195" s="6" t="str">
        <f aca="false">IF(J195="","",WORKDAY(J195+4,1))</f>
        <v/>
      </c>
      <c r="L195" s="5"/>
      <c r="M195" s="4"/>
      <c r="N195" s="4"/>
      <c r="O195" s="4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4"/>
      <c r="J196" s="5"/>
      <c r="K196" s="6" t="str">
        <f aca="false">IF(J196="","",WORKDAY(J196+4,1))</f>
        <v/>
      </c>
      <c r="L196" s="5"/>
      <c r="M196" s="4"/>
      <c r="N196" s="4"/>
      <c r="O196" s="4"/>
    </row>
    <row r="197" customFormat="false" ht="1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4"/>
      <c r="J197" s="5"/>
      <c r="K197" s="6" t="str">
        <f aca="false">IF(J197="","",WORKDAY(J197+4,1))</f>
        <v/>
      </c>
      <c r="L197" s="5"/>
      <c r="M197" s="4"/>
      <c r="N197" s="4"/>
      <c r="O197" s="4"/>
    </row>
    <row r="198" customFormat="false" ht="1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4"/>
      <c r="J198" s="5"/>
      <c r="K198" s="6" t="str">
        <f aca="false">IF(J198="","",WORKDAY(J198+4,1))</f>
        <v/>
      </c>
      <c r="L198" s="5"/>
      <c r="M198" s="4"/>
      <c r="N198" s="4"/>
      <c r="O198" s="4"/>
    </row>
    <row r="199" customFormat="false" ht="1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4"/>
      <c r="J199" s="5"/>
      <c r="K199" s="6" t="str">
        <f aca="false">IF(J199="","",WORKDAY(J199+4,1))</f>
        <v/>
      </c>
      <c r="L199" s="5"/>
      <c r="M199" s="4"/>
      <c r="N199" s="4"/>
      <c r="O199" s="4"/>
    </row>
    <row r="200" customFormat="false" ht="1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4"/>
      <c r="J200" s="5"/>
      <c r="K200" s="6" t="str">
        <f aca="false">IF(J200="","",WORKDAY(J200+4,1))</f>
        <v/>
      </c>
      <c r="L200" s="5"/>
      <c r="M200" s="4"/>
      <c r="N200" s="4"/>
      <c r="O200" s="4"/>
    </row>
  </sheetData>
  <autoFilter ref="A1:O200"/>
  <conditionalFormatting sqref="I2:I200">
    <cfRule type="cellIs" priority="2" operator="equal" aboveAverage="0" equalAverage="0" bottom="0" percent="0" rank="0" text="" dxfId="5">
      <formula>"Lien obtenu"</formula>
    </cfRule>
    <cfRule type="cellIs" priority="3" operator="equal" aboveAverage="0" equalAverage="0" bottom="0" percent="0" rank="0" text="" dxfId="6">
      <formula>"Adresse invalide"</formula>
    </cfRule>
  </conditionalFormatting>
  <conditionalFormatting sqref="K2:K200">
    <cfRule type="expression" priority="4" aboveAverage="0" equalAverage="0" bottom="0" percent="0" rank="0" text="" dxfId="7">
      <formula>AND(K2&lt;&gt;"",K2&lt;=TODAY(),L2="",I2="Envoyé")</formula>
    </cfRule>
  </conditionalFormatting>
  <dataValidations count="2">
    <dataValidation allowBlank="true" errorStyle="stop" operator="between" showDropDown="false" showErrorMessage="false" showInputMessage="false" sqref="I2:I200" type="list">
      <formula1>"Brouillon prêt,À compléter,Envoyé,Relancé,Répondu,Lien obtenu,Refus,Pas de réponse,Adresse invalide"</formula1>
      <formula2>0</formula2>
    </dataValidation>
    <dataValidation allowBlank="true" errorStyle="stop" operator="between" showDropDown="false" showErrorMessage="false" showInputMessage="false" sqref="M2:M20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2"/>
    <col collapsed="false" customWidth="true" hidden="false" outlineLevel="0" max="4" min="4" style="1" width="10"/>
  </cols>
  <sheetData>
    <row r="1" customFormat="false" ht="17.25" hidden="false" customHeight="true" outlineLevel="0" collapsed="false">
      <c r="A1" s="7" t="s">
        <v>363</v>
      </c>
    </row>
    <row r="3" customFormat="false" ht="15" hidden="false" customHeight="true" outlineLevel="0" collapsed="false">
      <c r="A3" s="8" t="s">
        <v>364</v>
      </c>
      <c r="B3" s="9" t="n">
        <f aca="false">COUNTIF(Suivi!$E$2:$E$200,"*@*")</f>
        <v>95</v>
      </c>
    </row>
    <row r="4" customFormat="false" ht="15" hidden="false" customHeight="true" outlineLevel="0" collapsed="false">
      <c r="A4" s="8" t="s">
        <v>365</v>
      </c>
      <c r="B4" s="9" t="n">
        <f aca="false">COUNTIF(Suivi!$I$2:$I$200,"Brouillon prêt")</f>
        <v>31</v>
      </c>
    </row>
    <row r="5" customFormat="false" ht="15" hidden="false" customHeight="true" outlineLevel="0" collapsed="false">
      <c r="A5" s="8" t="s">
        <v>366</v>
      </c>
      <c r="B5" s="9" t="n">
        <f aca="false">COUNTIF(Suivi!$I$2:$I$200,"Envoyé")+COUNTIF(Suivi!$I$2:$I$200,"Relancé")+COUNTIF(Suivi!$I$2:$I$200,"Répondu")+COUNTIF(Suivi!$I$2:$I$200,"Lien obtenu")+COUNTIF(Suivi!$I$2:$I$200,"Refus")+COUNTIF(Suivi!$I$2:$I$200,"Pas de réponse")</f>
        <v>57</v>
      </c>
    </row>
    <row r="6" customFormat="false" ht="15" hidden="false" customHeight="true" outlineLevel="0" collapsed="false">
      <c r="A6" s="8" t="s">
        <v>367</v>
      </c>
      <c r="B6" s="9" t="n">
        <f aca="false">COUNTIF(Suivi!$I$2:$I$200,"Relancé")</f>
        <v>32</v>
      </c>
    </row>
    <row r="7" customFormat="false" ht="15" hidden="false" customHeight="true" outlineLevel="0" collapsed="false">
      <c r="A7" s="8" t="s">
        <v>368</v>
      </c>
      <c r="B7" s="9" t="n">
        <f aca="false">COUNTIF(Suivi!$M$2:$M$200,"Oui")</f>
        <v>2</v>
      </c>
    </row>
    <row r="8" customFormat="false" ht="15" hidden="false" customHeight="true" outlineLevel="0" collapsed="false">
      <c r="A8" s="8" t="s">
        <v>369</v>
      </c>
      <c r="B8" s="9" t="n">
        <f aca="false">COUNTIF(Suivi!$I$2:$I$200,"Lien obtenu")</f>
        <v>0</v>
      </c>
    </row>
    <row r="9" customFormat="false" ht="15" hidden="false" customHeight="true" outlineLevel="0" collapsed="false">
      <c r="A9" s="8" t="s">
        <v>177</v>
      </c>
      <c r="B9" s="9" t="n">
        <f aca="false">COUNTIF(Suivi!$I$2:$I$200,"Refus")</f>
        <v>1</v>
      </c>
    </row>
    <row r="10" customFormat="false" ht="15" hidden="false" customHeight="true" outlineLevel="0" collapsed="false">
      <c r="A10" s="8" t="s">
        <v>370</v>
      </c>
      <c r="B10" s="9" t="n">
        <f aca="false">COUNTIF(Suivi!$I$2:$I$200,"Adresse invalide")</f>
        <v>8</v>
      </c>
    </row>
    <row r="11" customFormat="false" ht="15" hidden="false" customHeight="true" outlineLevel="0" collapsed="false">
      <c r="A11" s="8" t="s">
        <v>371</v>
      </c>
      <c r="B11" s="10" t="n">
        <f aca="false">IFERROR(B7/B5,0)</f>
        <v>0.0350877192982456</v>
      </c>
    </row>
    <row r="12" customFormat="false" ht="15" hidden="false" customHeight="true" outlineLevel="0" collapsed="false">
      <c r="A12" s="8" t="s">
        <v>372</v>
      </c>
      <c r="B12" s="10" t="n">
        <f aca="false">IFERROR(B8/B5,0)</f>
        <v>0</v>
      </c>
    </row>
    <row r="13" customFormat="false" ht="15" hidden="false" customHeight="true" outlineLevel="0" collapsed="false">
      <c r="A13" s="8" t="s">
        <v>373</v>
      </c>
      <c r="B13" s="9" t="n">
        <f aca="true">COUNTIFS(Suivi!$K$2:$K$200,"&lt;="&amp;TODAY(),Suivi!$I$2:$I$200,"Envoyé",Suivi!$L$2:$L$200,"")</f>
        <v>0</v>
      </c>
    </row>
    <row r="15" customFormat="false" ht="15" hidden="false" customHeight="true" outlineLevel="0" collapsed="false">
      <c r="A15" s="11" t="s">
        <v>374</v>
      </c>
    </row>
    <row r="17" customFormat="false" ht="15" hidden="false" customHeight="true" outlineLevel="0" collapsed="false">
      <c r="A17" s="9" t="s">
        <v>375</v>
      </c>
    </row>
    <row r="18" customFormat="false" ht="15" hidden="false" customHeight="true" outlineLevel="0" collapsed="false">
      <c r="A18" s="9" t="s">
        <v>1</v>
      </c>
      <c r="B18" s="9" t="s">
        <v>376</v>
      </c>
      <c r="C18" s="9" t="s">
        <v>377</v>
      </c>
      <c r="D18" s="9" t="s">
        <v>378</v>
      </c>
    </row>
    <row r="19" customFormat="false" ht="15" hidden="false" customHeight="true" outlineLevel="0" collapsed="false">
      <c r="A19" s="8" t="s">
        <v>15</v>
      </c>
      <c r="B19" s="8" t="n">
        <f aca="false">COUNTIF(Suivi!$B$2:$B$200,A19)</f>
        <v>9</v>
      </c>
      <c r="C19" s="8" t="n">
        <f aca="false">COUNTIFS(Suivi!$B$2:$B$200,A19,Suivi!$J$2:$J$200,"&lt;&gt;")</f>
        <v>8</v>
      </c>
      <c r="D19" s="8" t="n">
        <f aca="false">COUNTIFS(Suivi!$B$2:$B$200,A19,Suivi!$I$2:$I$200,"Lien obtenu")</f>
        <v>0</v>
      </c>
    </row>
    <row r="20" customFormat="false" ht="15" hidden="false" customHeight="true" outlineLevel="0" collapsed="false">
      <c r="A20" s="8" t="s">
        <v>43</v>
      </c>
      <c r="B20" s="8" t="n">
        <f aca="false">COUNTIF(Suivi!$B$2:$B$200,A20)</f>
        <v>3</v>
      </c>
      <c r="C20" s="8" t="n">
        <f aca="false">COUNTIFS(Suivi!$B$2:$B$200,A20,Suivi!$J$2:$J$200,"&lt;&gt;")</f>
        <v>1</v>
      </c>
      <c r="D20" s="8" t="n">
        <f aca="false">COUNTIFS(Suivi!$B$2:$B$200,A20,Suivi!$I$2:$I$200,"Lien obtenu")</f>
        <v>0</v>
      </c>
    </row>
    <row r="21" customFormat="false" ht="15" hidden="false" customHeight="true" outlineLevel="0" collapsed="false">
      <c r="A21" s="8" t="s">
        <v>51</v>
      </c>
      <c r="B21" s="8" t="n">
        <f aca="false">COUNTIF(Suivi!$B$2:$B$200,A21)</f>
        <v>5</v>
      </c>
      <c r="C21" s="8" t="n">
        <f aca="false">COUNTIFS(Suivi!$B$2:$B$200,A21,Suivi!$J$2:$J$200,"&lt;&gt;")</f>
        <v>5</v>
      </c>
      <c r="D21" s="8" t="n">
        <f aca="false">COUNTIFS(Suivi!$B$2:$B$200,A21,Suivi!$I$2:$I$200,"Lien obtenu")</f>
        <v>0</v>
      </c>
    </row>
    <row r="22" customFormat="false" ht="15" hidden="false" customHeight="true" outlineLevel="0" collapsed="false">
      <c r="A22" s="8" t="s">
        <v>59</v>
      </c>
      <c r="B22" s="8" t="n">
        <f aca="false">COUNTIF(Suivi!$B$2:$B$200,A22)</f>
        <v>18</v>
      </c>
      <c r="C22" s="8" t="n">
        <f aca="false">COUNTIFS(Suivi!$B$2:$B$200,A22,Suivi!$J$2:$J$200,"&lt;&gt;")</f>
        <v>18</v>
      </c>
      <c r="D22" s="8" t="n">
        <f aca="false">COUNTIFS(Suivi!$B$2:$B$200,A22,Suivi!$I$2:$I$200,"Lien obtenu")</f>
        <v>0</v>
      </c>
    </row>
    <row r="23" customFormat="false" ht="15" hidden="false" customHeight="true" outlineLevel="0" collapsed="false">
      <c r="A23" s="8" t="s">
        <v>92</v>
      </c>
      <c r="B23" s="8" t="n">
        <f aca="false">COUNTIF(Suivi!$B$2:$B$200,A23)</f>
        <v>20</v>
      </c>
      <c r="C23" s="8" t="n">
        <f aca="false">COUNTIFS(Suivi!$B$2:$B$200,A23,Suivi!$J$2:$J$200,"&lt;&gt;")</f>
        <v>13</v>
      </c>
      <c r="D23" s="8" t="n">
        <f aca="false">COUNTIFS(Suivi!$B$2:$B$200,A23,Suivi!$I$2:$I$200,"Lien obtenu")</f>
        <v>0</v>
      </c>
    </row>
    <row r="24" customFormat="false" ht="15" hidden="false" customHeight="true" outlineLevel="0" collapsed="false">
      <c r="A24" s="8" t="s">
        <v>131</v>
      </c>
      <c r="B24" s="8" t="n">
        <f aca="false">COUNTIF(Suivi!$B$2:$B$200,A24)</f>
        <v>9</v>
      </c>
      <c r="C24" s="8" t="n">
        <f aca="false">COUNTIFS(Suivi!$B$2:$B$200,A24,Suivi!$J$2:$J$200,"&lt;&gt;")</f>
        <v>1</v>
      </c>
      <c r="D24" s="8" t="n">
        <f aca="false">COUNTIFS(Suivi!$B$2:$B$200,A24,Suivi!$I$2:$I$200,"Lien obtenu")</f>
        <v>0</v>
      </c>
    </row>
    <row r="25" customFormat="false" ht="15" hidden="false" customHeight="true" outlineLevel="0" collapsed="false">
      <c r="A25" s="8" t="s">
        <v>195</v>
      </c>
      <c r="B25" s="8" t="n">
        <f aca="false">COUNTIF(Suivi!$B$2:$B$200,A25)</f>
        <v>10</v>
      </c>
      <c r="C25" s="8" t="n">
        <f aca="false">COUNTIFS(Suivi!$B$2:$B$200,A25,Suivi!$J$2:$J$200,"&lt;&gt;")</f>
        <v>3</v>
      </c>
      <c r="D25" s="8" t="n">
        <f aca="false">COUNTIFS(Suivi!$B$2:$B$200,A25,Suivi!$I$2:$I$200,"Lien obtenu")</f>
        <v>0</v>
      </c>
    </row>
    <row r="26" customFormat="false" ht="15" hidden="false" customHeight="true" outlineLevel="0" collapsed="false">
      <c r="A26" s="8" t="s">
        <v>225</v>
      </c>
      <c r="B26" s="8" t="n">
        <f aca="false">COUNTIF(Suivi!$B$2:$B$200,A26)</f>
        <v>8</v>
      </c>
      <c r="C26" s="8" t="n">
        <f aca="false">COUNTIFS(Suivi!$B$2:$B$200,A26,Suivi!$J$2:$J$200,"&lt;&gt;")</f>
        <v>7</v>
      </c>
      <c r="D26" s="8" t="n">
        <f aca="false">COUNTIFS(Suivi!$B$2:$B$200,A26,Suivi!$I$2:$I$200,"Lien obtenu")</f>
        <v>0</v>
      </c>
    </row>
    <row r="27" customFormat="false" ht="15" hidden="false" customHeight="true" outlineLevel="0" collapsed="false">
      <c r="A27" s="8" t="s">
        <v>247</v>
      </c>
      <c r="B27" s="8" t="n">
        <f aca="false">COUNTIF(Suivi!$B$2:$B$200,A27)</f>
        <v>11</v>
      </c>
      <c r="C27" s="8" t="n">
        <f aca="false">COUNTIFS(Suivi!$B$2:$B$200,A27,Suivi!$J$2:$J$200,"&lt;&gt;")</f>
        <v>5</v>
      </c>
      <c r="D27" s="8" t="n">
        <f aca="false">COUNTIFS(Suivi!$B$2:$B$200,A27,Suivi!$I$2:$I$200,"Lien obtenu")</f>
        <v>0</v>
      </c>
    </row>
    <row r="28" customFormat="false" ht="15" hidden="false" customHeight="true" outlineLevel="0" collapsed="false">
      <c r="A28" s="8" t="s">
        <v>318</v>
      </c>
      <c r="B28" s="8" t="n">
        <f aca="false">COUNTIF(Suivi!$B$2:$B$200,A28)</f>
        <v>3</v>
      </c>
      <c r="C28" s="8" t="n">
        <f aca="false">COUNTIFS(Suivi!$B$2:$B$200,A28,Suivi!$J$2:$J$200,"&lt;&gt;")</f>
        <v>3</v>
      </c>
      <c r="D28" s="8" t="n">
        <f aca="false">COUNTIFS(Suivi!$B$2:$B$200,A28,Suivi!$I$2:$I$200,"Lien obtenu")</f>
        <v>0</v>
      </c>
    </row>
    <row r="29" customFormat="false" ht="15" hidden="false" customHeight="true" outlineLevel="0" collapsed="false">
      <c r="A29" s="12" t="s">
        <v>379</v>
      </c>
      <c r="B29" s="8" t="n">
        <f aca="false">SUM(B19:B28)</f>
        <v>96</v>
      </c>
      <c r="C29" s="8" t="n">
        <f aca="false">SUM(C19:C28)</f>
        <v>64</v>
      </c>
      <c r="D29" s="8" t="n">
        <f aca="false">SUM(D19:D28)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7" t="s">
        <v>380</v>
      </c>
    </row>
    <row r="2" customFormat="false" ht="15" hidden="false" customHeight="true" outlineLevel="0" collapsed="false">
      <c r="A2" s="13"/>
    </row>
    <row r="3" customFormat="false" ht="15" hidden="false" customHeight="true" outlineLevel="0" collapsed="false">
      <c r="A3" s="13" t="s">
        <v>381</v>
      </c>
    </row>
    <row r="4" customFormat="false" ht="15" hidden="false" customHeight="true" outlineLevel="0" collapsed="false">
      <c r="A4" s="13" t="s">
        <v>382</v>
      </c>
    </row>
    <row r="5" customFormat="false" ht="15" hidden="false" customHeight="true" outlineLevel="0" collapsed="false">
      <c r="A5" s="13"/>
    </row>
    <row r="6" customFormat="false" ht="15" hidden="false" customHeight="true" outlineLevel="0" collapsed="false">
      <c r="A6" s="13" t="s">
        <v>383</v>
      </c>
    </row>
    <row r="7" customFormat="false" ht="15" hidden="false" customHeight="true" outlineLevel="0" collapsed="false">
      <c r="A7" s="13" t="s">
        <v>384</v>
      </c>
    </row>
    <row r="8" customFormat="false" ht="15" hidden="false" customHeight="true" outlineLevel="0" collapsed="false">
      <c r="A8" s="13" t="s">
        <v>385</v>
      </c>
    </row>
    <row r="9" customFormat="false" ht="15" hidden="false" customHeight="true" outlineLevel="0" collapsed="false">
      <c r="A9" s="13" t="s">
        <v>386</v>
      </c>
    </row>
    <row r="10" customFormat="false" ht="15" hidden="false" customHeight="true" outlineLevel="0" collapsed="false">
      <c r="A10" s="13" t="s">
        <v>387</v>
      </c>
    </row>
    <row r="11" customFormat="false" ht="15" hidden="false" customHeight="true" outlineLevel="0" collapsed="false">
      <c r="A11" s="13"/>
    </row>
    <row r="12" customFormat="false" ht="15" hidden="false" customHeight="true" outlineLevel="0" collapsed="false">
      <c r="A12" s="13" t="s">
        <v>388</v>
      </c>
    </row>
    <row r="13" customFormat="false" ht="15" hidden="false" customHeight="true" outlineLevel="0" collapsed="false">
      <c r="A13" s="13" t="s">
        <v>389</v>
      </c>
    </row>
    <row r="14" customFormat="false" ht="15" hidden="false" customHeight="true" outlineLevel="0" collapsed="false">
      <c r="A14" s="13" t="s">
        <v>390</v>
      </c>
    </row>
    <row r="15" customFormat="false" ht="15" hidden="false" customHeight="true" outlineLevel="0" collapsed="false">
      <c r="A15" s="13" t="s">
        <v>391</v>
      </c>
    </row>
    <row r="16" customFormat="false" ht="15" hidden="false" customHeight="true" outlineLevel="0" collapsed="false">
      <c r="A16" s="1" t="s">
        <v>392</v>
      </c>
    </row>
    <row r="17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2026-10-19T10:02:03Z</dcterms:created>
  <dc:creator>openpyxl</dc:creator>
  <dc:description/>
  <dc:language>en-US</dc:language>
  <cp:lastModifiedBy/>
  <dcterms:modified xsi:type="dcterms:W3CDTF">2026-10-26T09:41:26Z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