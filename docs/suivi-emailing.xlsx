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<sst xmlns="http://schemas.openxmlformats.org/spreadsheetml/2006/main" count="1383" uniqueCount="541">
  <si>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</si>
  <si>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</si>
  <si>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</si>
  <si>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</si>
  <si>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</si>
  <si>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</si>
  <si>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</si>
  <si>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</si>
  <si>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</si>
  <si>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</si>
  <si>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</si>
  <si>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</si>
  <si>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</si>
  <si>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</si>
  <si>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</si>
  <si>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</si>
  <si>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</si>
  <si>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</si>
  <si>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</si>
  <si>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</si>
  <si>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</si>
  <si>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</si>
  <si>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</si>
  <si>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</si>
  <si>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</si>
  <si>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</si>
  <si>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</si>
  <si>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</si>
  <si>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</si>
  <si>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</si>
  <si>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</si>
  <si>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</si>
  <si>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</si>
  <si>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</si>
  <si>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</si>
  <si>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</si>
  <si>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</si>
  <si>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</si>
  <si>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</si>
  <si>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</si>
  <si>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</si>
  <si>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</si>
  <si>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</si>
  <si>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</si>
  <si>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</si>
  <si>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</si>
  <si>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</si>
  <si>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</si>
  <si>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</si>
  <si>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</si>
  <si>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</si>
  <si>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</si>
  <si>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</si>
  <si>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</si>
  <si>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</si>
  <si>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</si>
  <si>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</si>
  <si>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</si>
  <si>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</si>
  <si>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</si>
  <si>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</si>
  <si>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</si>
  <si>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</si>
  <si>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</si>
  <si>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</si>
  <si>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</si>
  <si>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Envoyé</t>
  </si>
  <si>
    <t xml:space="preserve">Relance prévue le 28/10/2026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</si>
  <si>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</si>
  <si>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</si>
  <si>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</si>
  <si>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</si>
  <si>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</si>
  <si>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</si>
  <si>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</si>
  <si>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</si>
  <si>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</si>
  <si>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</si>
  <si>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</si>
  <si>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</si>
  <si>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</si>
  <si>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</si>
  <si>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</si>
  <si>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</si>
  <si>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</si>
  <si>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</si>
  <si>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</si>
  <si>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</si>
  <si>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</si>
  <si>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</si>
  <si>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</si>
  <si>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</si>
  <si>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</si>
  <si>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</si>
  <si>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</si>
  <si>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</si>
  <si>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</si>
  <si>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</si>
  <si>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</si>
  <si>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</si>
  <si>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</si>
  <si>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</si>
  <si>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Relance prévue le 28/10/2026.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</si>
  <si>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</si>
  <si>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</si>
  <si>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</si>
  <si>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</si>
  <si>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</si>
  <si>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</si>
  <si>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</si>
  <si>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</si>
  <si>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</si>
  <si>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</si>
  <si>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</si>
  <si>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</si>
  <si>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</si>
  <si>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</si>
  <si>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</si>
  <si>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</si>
  <si>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</si>
  <si>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</si>
  <si>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</si>
  <si>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</si>
  <si>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</si>
  <si>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</si>
  <si>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</si>
  <si>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</si>
  <si>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</si>
  <si>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</si>
  <si>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</si>
  <si>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26/10 : rebond, l’adresse renvoie vers contact06@urma-paca.fr, qui n’existe pas. Pas de relance.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</si>
  <si>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</si>
  <si>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</si>
  <si>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</si>
  <si>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</si>
  <si>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</si>
  <si>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</si>
  <si>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</si>
  <si>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</si>
  <si>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</si>
  <si>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</si>
  <si>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</si>
  <si>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</si>
  <si>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</si>
  <si>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</si>
  <si>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</si>
  <si>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</si>
  <si>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</si>
  <si>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</si>
  <si>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</si>
  <si>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</si>
  <si>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</si>
  <si>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</si>
  <si>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</si>
  <si>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</si>
  <si>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</si>
  <si>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</si>
  <si>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</si>
  <si>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</si>
  <si>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</si>
  <si>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</si>
  <si>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</si>
  <si>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</si>
  <si>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</si>
  <si>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</si>
  <si>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</si>
  <si>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</si>
  <si>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</si>
  <si>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</si>
  <si>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</si>
  <si>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</si>
  <si>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</si>
  <si>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</si>
  <si>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</si>
  <si>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26/10 : rebond, message bloqué par le serveur (Microsoft 365, « Access denied »). Pas de relance.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</si>
  <si>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</si>
  <si>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</si>
  <si>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</si>
  <si>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</si>
  <si>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</si>
  <si>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</si>
  <si>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</si>
  <si>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</si>
  <si>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</si>
  <si>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</si>
  <si>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</si>
  <si>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</si>
  <si>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</si>
  <si>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</si>
  <si>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</si>
  <si>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Relance prévue le 27/10/2026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</si>
  <si>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</si>
  <si>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</si>
  <si>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</si>
  <si>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</si>
  <si>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</si>
  <si>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</si>
  <si>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</si>
  <si>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</si>
  <si>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</si>
  <si>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</si>
  <si>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</si>
  <si>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</si>
  <si>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</si>
  <si>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</si>
  <si>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</si>
  <si>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</si>
  <si>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</si>
  <si>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</si>
  <si>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</si>
  <si>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</si>
  <si>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</si>
  <si>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</si>
  <si>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</si>
  <si>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</si>
  <si>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</si>
  <si>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</si>
  <si>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</si>
  <si>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</si>
  <si>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</si>
  <si>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</si>
  <si>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</si>
  <si>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</si>
  <si>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</si>
  <si>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</si>
  <si>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26/10 : rebond, adresse inexistante. Pas de relance.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</si>
  <si>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</si>
  <si>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</si>
  <si>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</si>
  <si>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</si>
  <si>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</si>
  <si>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</si>
  <si>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</si>
  <si>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</si>
  <si>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</si>
  <si>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</si>
  <si>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</si>
  <si>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</si>
  <si>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</si>
  <si>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</si>
  <si>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</si>
  <si>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</si>
  <si>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</si>
  <si>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</si>
  <si>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</si>
  <si>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</si>
  <si>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</si>
  <si>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</si>
  <si>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</si>
  <si>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</si>
  <si>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</si>
  <si>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</si>
  <si>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</si>
  <si>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</si>
  <si>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</si>
  <si>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</si>
  <si>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</si>
  <si>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</si>
  <si>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</si>
  <si>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</si>
  <si>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</si>
  <si>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</si>
  <si>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</si>
  <si>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</si>
  <si>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</si>
  <si>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</si>
  <si>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</si>
  <si>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</si>
  <si>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</si>
  <si>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</si>
  <si>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</si>
  <si>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</si>
  <si>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</si>
  <si>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</si>
  <si>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</si>
  <si>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</si>
  <si>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</si>
  <si>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</si>
  <si>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</si>
  <si>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</si>
  <si>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</si>
  <si>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</si>
  <si>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</si>
  <si>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</si>
  <si>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</si>
  <si>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</si>
  <si>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</si>
  <si>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</si>
  <si>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</si>
  <si>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</si>
  <si>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</si>
  <si>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</si>
  <si>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</si>
  <si>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</si>
  <si>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</si>
  <si>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</si>
  <si>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</si>
  <si>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</si>
  <si>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</si>
  <si>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</si>
  <si>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</si>
  <si>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</si>
  <si>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</si>
  <si>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</si>
  <si>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</si>
  <si>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</si>
  <si>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</si>
  <si>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</si>
  <si>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</si>
  <si>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</si>
  <si>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</si>
  <si>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</si>
  <si>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</si>
  <si>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</si>
  <si>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</si>
  <si>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</si>
  <si>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</si>
  <si>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</si>
  <si>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</si>
  <si>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</si>
  <si>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</si>
  <si>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</si>
  <si>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</si>
  <si>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</si>
  <si>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</si>
  <si>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</si>
  <si>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</si>
  <si>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</si>
  <si>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</si>
  <si>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</si>
  <si>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</si>
  <si>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</si>
  <si>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</si>
  <si>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</si>
  <si>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</si>
  <si>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</si>
  <si>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23/10 : réponse automatique de l'Ordre (attestations, espace pro). Relance prévue le 28/10/2026.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</si>
  <si>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</si>
  <si>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</si>
  <si>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</si>
  <si>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</si>
  <si>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</si>
  <si>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</si>
  <si>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</si>
  <si>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</si>
  <si>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</si>
  <si>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</si>
  <si>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</si>
  <si>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</si>
  <si>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</si>
  <si>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</si>
  <si>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</si>
  <si>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</si>
  <si>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</si>
  <si>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</si>
  <si>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</si>
  <si>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</si>
  <si>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</si>
  <si>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</si>
  <si>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</si>
  <si>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</si>
  <si>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</si>
  <si>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</si>
  <si>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</si>
  <si>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</si>
  <si>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</si>
  <si>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</si>
  <si>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</si>
  <si>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</si>
  <si>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</si>
  <si>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</si>
  <si>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</si>
  <si>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26/10 : rebond, domaine portesdebretagne-initiative.fr introuvable. Pas de relance.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</si>
  <si>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</si>
  <si>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</si>
  <si>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</si>
  <si>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</si>
  <si>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</si>
  <si>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26/10 : rebond, domaine initiative-aisne.com introuvable. Pas de relance.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</si>
  <si>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</si>
  <si>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</si>
  <si>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</si>
  <si>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</si>
  <si>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</si>
  <si>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</si>
  <si>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</si>
  <si>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</si>
  <si>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</si>
  <si>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</si>
  <si>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</si>
  <si>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</si>
  <si>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</si>
  <si>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</si>
  <si>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</si>
  <si>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</si>
  <si>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</si>
  <si>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</si>
  <si>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</si>
  <si>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</si>
  <si>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</si>
  <si>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</si>
  <si>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</si>
  <si>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</si>
  <si>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</si>
  <si>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</si>
  <si>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</si>
  <si>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</si>
  <si>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</si>
  <si>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</si>
  <si>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</si>
  <si>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</si>
  <si>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</si>
  <si>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</si>
  <si>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</si>
  <si>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</si>
  <si>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</si>
  <si>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</si>
  <si>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</si>
  <si>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</si>
  <si>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</si>
  <si>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</si>
  <si>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</si>
  <si>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</si>
  <si>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</si>
  <si>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</si>
  <si>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</si>
  <si>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</si>
  <si>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</si>
  <si>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</si>
  <si>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</si>
  <si>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</si>
  <si>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</si>
  <si>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</si>
  <si>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Paris Initiative Entreprise</t>
  </si>
  <si>
    <t xml:space="preserve">contact@paris-initiative.org</t>
  </si>
  <si>
    <t xml:space="preserve">Tiers (les-aides.fr, 2021)</t>
  </si>
  <si>
    <t xml:space="preserve">Boîte à outils créateur + chiffres Sirene</t>
  </si>
  <si>
    <t xml:space="preserve">1 269 créations à Paris en octobre : des outils gratuits pour vos porteurs de projet</t>
  </si>
  <si>
    <t xml:space="preserve">Réseau Entreprendre Paris</t>
  </si>
  <si>
    <t xml:space="preserve">paris@reseau-entreprendre.org</t>
  </si>
  <si>
    <t xml:space="preserve">Tiers (annuaire régional des financeurs)</t>
  </si>
  <si>
    <t xml:space="preserve">26/10 : réponse de Félicité et Maroussia (« Merci pour votre message et votre outil ! »). Réponse préparée en brouillon : proposition d’un texte de présentation et du décompte des créations parisiennes. Pas de relance.</t>
  </si>
  <si>
    <t xml:space="preserve">Hauts-de-Seine Initiative</t>
  </si>
  <si>
    <t xml:space="preserve">accueil@hdsi.asso.fr</t>
  </si>
  <si>
    <t xml:space="preserve">Tiers (les-aides.fr, 2022)</t>
  </si>
  <si>
    <t xml:space="preserve">278 créations dans les Hauts-de-Seine en octobre : des outils gratuits pour vos porteurs de projet</t>
  </si>
  <si>
    <t xml:space="preserve">Réseau Entreprendre 92</t>
  </si>
  <si>
    <t xml:space="preserve">92@reseau-entreprendre.org</t>
  </si>
  <si>
    <t xml:space="preserve">Initiative Terres d’Azur (Grasse)</t>
  </si>
  <si>
    <t xml:space="preserve">contact@initiative-terres-dazur.com</t>
  </si>
  <si>
    <t xml:space="preserve">246 créations dans les Alpes-Maritimes en octobre : des outils gratuits pour vos porteurs de projet</t>
  </si>
  <si>
    <t xml:space="preserve">CCI Nice Côte d’Azur (financement)</t>
  </si>
  <si>
    <t xml:space="preserve">financement@cote-azur.cci.fr</t>
  </si>
  <si>
    <t xml:space="preserve">Officiel (brochure cote-azur.cci.fr, 2023)</t>
  </si>
  <si>
    <t xml:space="preserve">Initiative Lille Métropole Nord</t>
  </si>
  <si>
    <t xml:space="preserve">contact@initiative-lmnord.fr</t>
  </si>
  <si>
    <t xml:space="preserve">215 créations dans le Nord en octobre : des outils gratuits pour vos porteurs de projet</t>
  </si>
  <si>
    <t xml:space="preserve">Initiative Réunion Entreprendre</t>
  </si>
  <si>
    <t xml:space="preserve">contact@initiative-reunion.fr</t>
  </si>
  <si>
    <t xml:space="preserve">Tiers (fiche du Département 974)</t>
  </si>
  <si>
    <t xml:space="preserve">68 créations à La Réunion en octobre : des outils gratuits pour vos porteurs de projet</t>
  </si>
  <si>
    <t xml:space="preserve">Initiative Montreuillois</t>
  </si>
  <si>
    <t xml:space="preserve">contact@initiative-montreuillois.fr</t>
  </si>
  <si>
    <t xml:space="preserve">77 créations dans le Pas-de-Calais en octobre : des outils gratuits pour vos porteurs de projet</t>
  </si>
  <si>
    <t xml:space="preserve">Initiative Essonne</t>
  </si>
  <si>
    <t xml:space="preserve">contact@initiative-essonne.com</t>
  </si>
  <si>
    <t xml:space="preserve">Tiers (les-aides.fr ; variante .fr sur un document de 2019)</t>
  </si>
  <si>
    <t xml:space="preserve">124 créations dans l'Essonne en octobre : des outils gratuits pour vos porteurs de projet</t>
  </si>
  <si>
    <t xml:space="preserve">Brouillon prêt</t>
  </si>
  <si>
    <t xml:space="preserve">Envoi conseillé : jour 9</t>
  </si>
  <si>
    <t xml:space="preserve">Réseau Entreprendre Val d’Oise</t>
  </si>
  <si>
    <t xml:space="preserve">valdoise@reseau-entreprendre.org</t>
  </si>
  <si>
    <t xml:space="preserve">128 créations dans le Val-d'Oise en octobre : des outils gratuits pour vos porteurs de projet</t>
  </si>
  <si>
    <t xml:space="preserve">Initiative Nord Seine-et-Marne</t>
  </si>
  <si>
    <t xml:space="preserve">contact@initiative-nord77.fr</t>
  </si>
  <si>
    <t xml:space="preserve">154 créations en Seine-et-Marne en octobre : des outils gratuits pour vos porteurs de projet</t>
  </si>
  <si>
    <t xml:space="preserve">Initiative Melun Val de Seine et Sud 77 (nouvelle adresse)</t>
  </si>
  <si>
    <t xml:space="preserve">plateforme@initiative-mvs-sud77.fr</t>
  </si>
  <si>
    <t xml:space="preserve">Tiers (annuaire régional ; l’ancienne adresse camvs.com a été bloquée)</t>
  </si>
  <si>
    <t xml:space="preserve">Initiative Béziers Ouest Hérault</t>
  </si>
  <si>
    <t xml:space="preserve">contact@iboh.fr</t>
  </si>
  <si>
    <t xml:space="preserve">167 créations dans l'Hérault en octobre : des outils gratuits pour vos porteurs de projet</t>
  </si>
  <si>
    <t xml:space="preserve">Initiative Oise Est</t>
  </si>
  <si>
    <t xml:space="preserve">contact@oise-est.fr</t>
  </si>
  <si>
    <t xml:space="preserve">34 créations dans l'Oise en octobre : des outils gratuits pour vos porteurs de projet</t>
  </si>
  <si>
    <t xml:space="preserve">Initiative Oise Ouest</t>
  </si>
  <si>
    <t xml:space="preserve">contact@oise-ouest.fr</t>
  </si>
  <si>
    <t xml:space="preserve">Initiative Haute-Garonne</t>
  </si>
  <si>
    <t xml:space="preserve">contact@initiative-haute-garonne.org</t>
  </si>
  <si>
    <t xml:space="preserve">156 créations en Haute-Garonne en octobre : des outils gratuits pour vos porteurs de projet</t>
  </si>
  <si>
    <t xml:space="preserve">Initiative Loire-Atlantique Nord</t>
  </si>
  <si>
    <t xml:space="preserve">contact@initiativeloireatlantiquenord.fr</t>
  </si>
  <si>
    <t xml:space="preserve">93 créations en Loire-Atlantique en octobre : des outils gratuits pour vos porteurs de projet</t>
  </si>
  <si>
    <t xml:space="preserve">Initiative Loire</t>
  </si>
  <si>
    <t xml:space="preserve">contact@initiative-loire.fr</t>
  </si>
  <si>
    <t xml:space="preserve">74 créations dans la Loire en octobre : des outils gratuits pour vos porteurs de projet</t>
  </si>
  <si>
    <t xml:space="preserve">Initiative Moselle Nord</t>
  </si>
  <si>
    <t xml:space="preserve">pfil@synergie-ceei.com</t>
  </si>
  <si>
    <t xml:space="preserve">Tiers (les-aides.fr, PDF)</t>
  </si>
  <si>
    <t xml:space="preserve">90 créations en Moselle en octobre : des outils gratuits pour vos porteurs de projet</t>
  </si>
  <si>
    <t xml:space="preserve">Initiative Guadeloupe</t>
  </si>
  <si>
    <t xml:space="preserve">Guadeloupe</t>
  </si>
  <si>
    <t xml:space="preserve">guadeloupe-active@wanadoo.fr</t>
  </si>
  <si>
    <t xml:space="preserve">Tiers (les-aides.fr, 2021), adresse ancienne</t>
  </si>
  <si>
    <t xml:space="preserve">73 créations en Guadeloupe en octobre : des outils gratuits pour vos porteurs de projet</t>
  </si>
  <si>
    <t xml:space="preserve">Initiative Anjou</t>
  </si>
  <si>
    <t xml:space="preserve">contact@initiative-anjou.com</t>
  </si>
  <si>
    <t xml:space="preserve">59 créations en Maine-et-Loire en octobre : des outils gratuits pour vos porteurs de projet</t>
  </si>
  <si>
    <t xml:space="preserve">Initiative Dombes Val de Saône</t>
  </si>
  <si>
    <t xml:space="preserve">idvs@initiative-dombesvaldesaone.fr</t>
  </si>
  <si>
    <t xml:space="preserve">51 créations dans l'Ain en octobre : des outils gratuits pour vos porteurs de projet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</si>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</sst>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66</v>
      </c>
      <c r="J10" s="5" t="n">
        <v>46318</v>
      </c>
      <c r="K10" s="6" t="n">
        <f aca="false">IF(J10="","",WORKDAY(J10+4,1))</f>
        <v>46323</v>
      </c>
      <c r="L10" s="5"/>
      <c r="M10" s="4"/>
      <c r="N10" s="4"/>
      <c r="O10" s="4" t="s">
        <v>67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68</v>
      </c>
      <c r="D11" s="3" t="s">
        <v>69</v>
      </c>
      <c r="E11" s="3" t="s">
        <v>70</v>
      </c>
      <c r="F11" s="3" t="s">
        <v>71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72</v>
      </c>
      <c r="D12" s="3" t="s">
        <v>73</v>
      </c>
      <c r="E12" s="3" t="s">
        <v>74</v>
      </c>
      <c r="F12" s="3" t="s">
        <v>75</v>
      </c>
      <c r="G12" s="3" t="s">
        <v>64</v>
      </c>
      <c r="H12" s="3" t="s">
        <v>65</v>
      </c>
      <c r="I12" s="4" t="s">
        <v>76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77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78</v>
      </c>
      <c r="D13" s="3" t="s">
        <v>79</v>
      </c>
      <c r="E13" s="3" t="s">
        <v>80</v>
      </c>
      <c r="F13" s="3" t="s">
        <v>81</v>
      </c>
      <c r="G13" s="3" t="s">
        <v>64</v>
      </c>
      <c r="H13" s="3" t="s">
        <v>65</v>
      </c>
      <c r="I13" s="4" t="s">
        <v>76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82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83</v>
      </c>
      <c r="D14" s="3" t="s">
        <v>79</v>
      </c>
      <c r="E14" s="3" t="s">
        <v>84</v>
      </c>
      <c r="F14" s="3" t="s">
        <v>81</v>
      </c>
      <c r="G14" s="3" t="s">
        <v>64</v>
      </c>
      <c r="H14" s="3" t="s">
        <v>65</v>
      </c>
      <c r="I14" s="4" t="s">
        <v>66</v>
      </c>
      <c r="J14" s="5" t="n">
        <v>46318</v>
      </c>
      <c r="K14" s="6" t="n">
        <f aca="false">IF(J14="","",WORKDAY(J14+4,1))</f>
        <v>46323</v>
      </c>
      <c r="L14" s="5"/>
      <c r="M14" s="4"/>
      <c r="N14" s="4"/>
      <c r="O14" s="4" t="s">
        <v>67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85</v>
      </c>
      <c r="D15" s="3" t="s">
        <v>86</v>
      </c>
      <c r="E15" s="3" t="s">
        <v>87</v>
      </c>
      <c r="F15" s="3" t="s">
        <v>81</v>
      </c>
      <c r="G15" s="3" t="s">
        <v>64</v>
      </c>
      <c r="H15" s="3" t="s">
        <v>65</v>
      </c>
      <c r="I15" s="4" t="s">
        <v>66</v>
      </c>
      <c r="J15" s="5" t="n">
        <v>46318</v>
      </c>
      <c r="K15" s="6" t="n">
        <f aca="false">IF(J15="","",WORKDAY(J15+4,1))</f>
        <v>46323</v>
      </c>
      <c r="L15" s="5"/>
      <c r="M15" s="4"/>
      <c r="N15" s="4"/>
      <c r="O15" s="4" t="s">
        <v>67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88</v>
      </c>
      <c r="D16" s="3" t="s">
        <v>89</v>
      </c>
      <c r="E16" s="3" t="s">
        <v>90</v>
      </c>
      <c r="F16" s="3" t="s">
        <v>91</v>
      </c>
      <c r="G16" s="3" t="s">
        <v>64</v>
      </c>
      <c r="H16" s="3" t="s">
        <v>65</v>
      </c>
      <c r="I16" s="4" t="s">
        <v>66</v>
      </c>
      <c r="J16" s="5" t="n">
        <v>46318</v>
      </c>
      <c r="K16" s="6" t="n">
        <f aca="false">IF(J16="","",WORKDAY(J16+4,1))</f>
        <v>46323</v>
      </c>
      <c r="L16" s="5"/>
      <c r="M16" s="4"/>
      <c r="N16" s="4"/>
      <c r="O16" s="4" t="s">
        <v>67</v>
      </c>
    </row>
    <row r="17" customFormat="false" ht="23.25" hidden="false" customHeight="true" outlineLevel="0" collapsed="false">
      <c r="A17" s="3" t="n">
        <v>16</v>
      </c>
      <c r="B17" s="3" t="s">
        <v>92</v>
      </c>
      <c r="C17" s="3" t="s">
        <v>93</v>
      </c>
      <c r="D17" s="3" t="s">
        <v>61</v>
      </c>
      <c r="E17" s="3" t="s">
        <v>94</v>
      </c>
      <c r="F17" s="3" t="s">
        <v>63</v>
      </c>
      <c r="G17" s="3" t="s">
        <v>95</v>
      </c>
      <c r="H17" s="3" t="s">
        <v>96</v>
      </c>
      <c r="I17" s="4" t="s">
        <v>76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97</v>
      </c>
    </row>
    <row r="18" customFormat="false" ht="23.25" hidden="false" customHeight="true" outlineLevel="0" collapsed="false">
      <c r="A18" s="3" t="n">
        <v>17</v>
      </c>
      <c r="B18" s="3" t="s">
        <v>92</v>
      </c>
      <c r="C18" s="3" t="s">
        <v>98</v>
      </c>
      <c r="D18" s="3" t="s">
        <v>99</v>
      </c>
      <c r="E18" s="3" t="s">
        <v>100</v>
      </c>
      <c r="F18" s="3" t="s">
        <v>101</v>
      </c>
      <c r="G18" s="3" t="s">
        <v>95</v>
      </c>
      <c r="H18" s="3" t="s">
        <v>96</v>
      </c>
      <c r="I18" s="4" t="s">
        <v>66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102</v>
      </c>
    </row>
    <row r="19" customFormat="false" ht="23.25" hidden="false" customHeight="true" outlineLevel="0" collapsed="false">
      <c r="A19" s="3" t="n">
        <v>18</v>
      </c>
      <c r="B19" s="3" t="s">
        <v>92</v>
      </c>
      <c r="C19" s="3" t="s">
        <v>103</v>
      </c>
      <c r="D19" s="3" t="s">
        <v>104</v>
      </c>
      <c r="E19" s="3" t="s">
        <v>105</v>
      </c>
      <c r="F19" s="3" t="s">
        <v>81</v>
      </c>
      <c r="G19" s="3" t="s">
        <v>95</v>
      </c>
      <c r="H19" s="3" t="s">
        <v>96</v>
      </c>
      <c r="I19" s="4" t="s">
        <v>66</v>
      </c>
      <c r="J19" s="5" t="n">
        <v>46318</v>
      </c>
      <c r="K19" s="6" t="n">
        <f aca="false">IF(J19="","",WORKDAY(J19+4,1))</f>
        <v>46323</v>
      </c>
      <c r="L19" s="5"/>
      <c r="M19" s="4"/>
      <c r="N19" s="4"/>
      <c r="O19" s="4" t="s">
        <v>67</v>
      </c>
    </row>
    <row r="20" customFormat="false" ht="23.25" hidden="false" customHeight="true" outlineLevel="0" collapsed="false">
      <c r="A20" s="3" t="n">
        <v>19</v>
      </c>
      <c r="B20" s="3" t="s">
        <v>92</v>
      </c>
      <c r="C20" s="3" t="s">
        <v>106</v>
      </c>
      <c r="D20" s="3" t="s">
        <v>69</v>
      </c>
      <c r="E20" s="3" t="s">
        <v>107</v>
      </c>
      <c r="F20" s="3" t="s">
        <v>81</v>
      </c>
      <c r="G20" s="3" t="s">
        <v>95</v>
      </c>
      <c r="H20" s="3" t="s">
        <v>96</v>
      </c>
      <c r="I20" s="4" t="s">
        <v>66</v>
      </c>
      <c r="J20" s="5" t="n">
        <v>46318</v>
      </c>
      <c r="K20" s="6" t="n">
        <f aca="false">IF(J20="","",WORKDAY(J20+4,1))</f>
        <v>46323</v>
      </c>
      <c r="L20" s="5"/>
      <c r="M20" s="4"/>
      <c r="N20" s="4"/>
      <c r="O20" s="4" t="s">
        <v>67</v>
      </c>
    </row>
    <row r="21" customFormat="false" ht="23.25" hidden="false" customHeight="true" outlineLevel="0" collapsed="false">
      <c r="A21" s="3" t="n">
        <v>20</v>
      </c>
      <c r="B21" s="3" t="s">
        <v>92</v>
      </c>
      <c r="C21" s="3" t="s">
        <v>108</v>
      </c>
      <c r="D21" s="3" t="s">
        <v>109</v>
      </c>
      <c r="E21" s="3" t="s">
        <v>110</v>
      </c>
      <c r="F21" s="3" t="s">
        <v>81</v>
      </c>
      <c r="G21" s="3" t="s">
        <v>95</v>
      </c>
      <c r="H21" s="3" t="s">
        <v>96</v>
      </c>
      <c r="I21" s="4" t="s">
        <v>66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111</v>
      </c>
    </row>
    <row r="22" customFormat="false" ht="23.25" hidden="false" customHeight="true" outlineLevel="0" collapsed="false">
      <c r="A22" s="3" t="n">
        <v>21</v>
      </c>
      <c r="B22" s="3" t="s">
        <v>92</v>
      </c>
      <c r="C22" s="3" t="s">
        <v>112</v>
      </c>
      <c r="D22" s="3" t="s">
        <v>113</v>
      </c>
      <c r="E22" s="3" t="s">
        <v>114</v>
      </c>
      <c r="F22" s="3" t="s">
        <v>115</v>
      </c>
      <c r="G22" s="3" t="s">
        <v>95</v>
      </c>
      <c r="H22" s="3" t="s">
        <v>96</v>
      </c>
      <c r="I22" s="4" t="s">
        <v>66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111</v>
      </c>
    </row>
    <row r="23" customFormat="false" ht="23.25" hidden="false" customHeight="true" outlineLevel="0" collapsed="false">
      <c r="A23" s="3" t="n">
        <v>22</v>
      </c>
      <c r="B23" s="3" t="s">
        <v>92</v>
      </c>
      <c r="C23" s="3" t="s">
        <v>116</v>
      </c>
      <c r="D23" s="3" t="s">
        <v>73</v>
      </c>
      <c r="E23" s="3" t="s">
        <v>117</v>
      </c>
      <c r="F23" s="3" t="s">
        <v>81</v>
      </c>
      <c r="G23" s="3" t="s">
        <v>95</v>
      </c>
      <c r="H23" s="3" t="s">
        <v>96</v>
      </c>
      <c r="I23" s="4" t="s">
        <v>66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111</v>
      </c>
    </row>
    <row r="24" customFormat="false" ht="23.25" hidden="false" customHeight="true" outlineLevel="0" collapsed="false">
      <c r="A24" s="3" t="n">
        <v>23</v>
      </c>
      <c r="B24" s="3" t="s">
        <v>92</v>
      </c>
      <c r="C24" s="3" t="s">
        <v>118</v>
      </c>
      <c r="D24" s="3" t="s">
        <v>86</v>
      </c>
      <c r="E24" s="3" t="s">
        <v>119</v>
      </c>
      <c r="F24" s="3" t="s">
        <v>120</v>
      </c>
      <c r="G24" s="3" t="s">
        <v>95</v>
      </c>
      <c r="H24" s="3" t="s">
        <v>96</v>
      </c>
      <c r="I24" s="4" t="s">
        <v>66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111</v>
      </c>
    </row>
    <row r="25" customFormat="false" ht="23.25" hidden="false" customHeight="true" outlineLevel="0" collapsed="false">
      <c r="A25" s="3" t="n">
        <v>24</v>
      </c>
      <c r="B25" s="3" t="s">
        <v>92</v>
      </c>
      <c r="C25" s="3" t="s">
        <v>121</v>
      </c>
      <c r="D25" s="3" t="s">
        <v>86</v>
      </c>
      <c r="E25" s="3" t="s">
        <v>122</v>
      </c>
      <c r="F25" s="3" t="s">
        <v>123</v>
      </c>
      <c r="G25" s="3" t="s">
        <v>95</v>
      </c>
      <c r="H25" s="3" t="s">
        <v>96</v>
      </c>
      <c r="I25" s="4" t="s">
        <v>66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111</v>
      </c>
    </row>
    <row r="26" customFormat="false" ht="23.25" hidden="false" customHeight="true" outlineLevel="0" collapsed="false">
      <c r="A26" s="3" t="n">
        <v>25</v>
      </c>
      <c r="B26" s="3" t="s">
        <v>92</v>
      </c>
      <c r="C26" s="3" t="s">
        <v>124</v>
      </c>
      <c r="D26" s="3" t="s">
        <v>89</v>
      </c>
      <c r="E26" s="3" t="s">
        <v>125</v>
      </c>
      <c r="F26" s="3" t="s">
        <v>126</v>
      </c>
      <c r="G26" s="3" t="s">
        <v>95</v>
      </c>
      <c r="H26" s="3" t="s">
        <v>96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92</v>
      </c>
      <c r="C27" s="3" t="s">
        <v>127</v>
      </c>
      <c r="D27" s="3" t="s">
        <v>128</v>
      </c>
      <c r="E27" s="3" t="s">
        <v>129</v>
      </c>
      <c r="F27" s="3" t="s">
        <v>81</v>
      </c>
      <c r="G27" s="3" t="s">
        <v>95</v>
      </c>
      <c r="H27" s="3" t="s">
        <v>96</v>
      </c>
      <c r="I27" s="4" t="s">
        <v>76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130</v>
      </c>
    </row>
    <row r="28" customFormat="false" ht="23.25" hidden="false" customHeight="true" outlineLevel="0" collapsed="false">
      <c r="A28" s="3" t="n">
        <v>27</v>
      </c>
      <c r="B28" s="3" t="s">
        <v>131</v>
      </c>
      <c r="C28" s="3" t="s">
        <v>132</v>
      </c>
      <c r="D28" s="3" t="s">
        <v>17</v>
      </c>
      <c r="E28" s="3" t="s">
        <v>133</v>
      </c>
      <c r="F28" s="3" t="s">
        <v>134</v>
      </c>
      <c r="G28" s="3" t="s">
        <v>135</v>
      </c>
      <c r="H28" s="3" t="s">
        <v>136</v>
      </c>
      <c r="I28" s="4" t="s">
        <v>76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137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138</v>
      </c>
      <c r="D29" s="3" t="s">
        <v>139</v>
      </c>
      <c r="E29" s="3" t="s">
        <v>140</v>
      </c>
      <c r="F29" s="3" t="s">
        <v>141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142</v>
      </c>
      <c r="D30" s="3" t="s">
        <v>109</v>
      </c>
      <c r="E30" s="3" t="s">
        <v>143</v>
      </c>
      <c r="F30" s="3" t="s">
        <v>144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145</v>
      </c>
      <c r="D31" s="3" t="s">
        <v>109</v>
      </c>
      <c r="E31" s="3" t="s">
        <v>146</v>
      </c>
      <c r="F31" s="3" t="s">
        <v>144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147</v>
      </c>
      <c r="D32" s="3" t="s">
        <v>109</v>
      </c>
      <c r="E32" s="3" t="s">
        <v>148</v>
      </c>
      <c r="F32" s="3" t="s">
        <v>144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149</v>
      </c>
      <c r="D33" s="3" t="s">
        <v>109</v>
      </c>
      <c r="E33" s="3" t="s">
        <v>150</v>
      </c>
      <c r="F33" s="3" t="s">
        <v>144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151</v>
      </c>
      <c r="D34" s="3" t="s">
        <v>89</v>
      </c>
      <c r="E34" s="3" t="s">
        <v>152</v>
      </c>
      <c r="F34" s="3" t="s">
        <v>153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154</v>
      </c>
      <c r="D35" s="3" t="s">
        <v>155</v>
      </c>
      <c r="E35" s="3" t="s">
        <v>156</v>
      </c>
      <c r="F35" s="3" t="s">
        <v>157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158</v>
      </c>
      <c r="D36" s="3" t="s">
        <v>128</v>
      </c>
      <c r="E36" s="3" t="s">
        <v>159</v>
      </c>
      <c r="F36" s="3" t="s">
        <v>160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161</v>
      </c>
      <c r="D37" s="3" t="s">
        <v>104</v>
      </c>
      <c r="E37" s="3" t="s">
        <v>162</v>
      </c>
      <c r="F37" s="3" t="s">
        <v>163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164</v>
      </c>
      <c r="D38" s="3" t="s">
        <v>99</v>
      </c>
      <c r="E38" s="3" t="s">
        <v>165</v>
      </c>
      <c r="F38" s="3" t="s">
        <v>166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167</v>
      </c>
      <c r="D39" s="3" t="s">
        <v>128</v>
      </c>
      <c r="E39" s="3" t="s">
        <v>168</v>
      </c>
      <c r="F39" s="3" t="s">
        <v>166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92</v>
      </c>
      <c r="C40" s="3" t="s">
        <v>169</v>
      </c>
      <c r="D40" s="3" t="s">
        <v>155</v>
      </c>
      <c r="E40" s="3" t="s">
        <v>170</v>
      </c>
      <c r="F40" s="3" t="s">
        <v>171</v>
      </c>
      <c r="G40" s="3" t="s">
        <v>95</v>
      </c>
      <c r="H40" s="3" t="s">
        <v>96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92</v>
      </c>
      <c r="C41" s="3" t="s">
        <v>172</v>
      </c>
      <c r="D41" s="3" t="s">
        <v>61</v>
      </c>
      <c r="E41" s="3" t="s">
        <v>173</v>
      </c>
      <c r="F41" s="3" t="s">
        <v>81</v>
      </c>
      <c r="G41" s="3" t="s">
        <v>95</v>
      </c>
      <c r="H41" s="3" t="s">
        <v>96</v>
      </c>
      <c r="I41" s="4" t="s">
        <v>76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174</v>
      </c>
    </row>
    <row r="42" customFormat="false" ht="15" hidden="false" customHeight="true" outlineLevel="0" collapsed="false">
      <c r="A42" s="3" t="n">
        <v>41</v>
      </c>
      <c r="B42" s="3" t="s">
        <v>92</v>
      </c>
      <c r="C42" s="3" t="s">
        <v>175</v>
      </c>
      <c r="D42" s="3" t="s">
        <v>61</v>
      </c>
      <c r="E42" s="3" t="s">
        <v>176</v>
      </c>
      <c r="F42" s="3" t="s">
        <v>177</v>
      </c>
      <c r="G42" s="3" t="s">
        <v>95</v>
      </c>
      <c r="H42" s="3" t="s">
        <v>96</v>
      </c>
      <c r="I42" s="4" t="s">
        <v>178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179</v>
      </c>
    </row>
    <row r="43" customFormat="false" ht="15" hidden="false" customHeight="true" outlineLevel="0" collapsed="false">
      <c r="A43" s="3" t="n">
        <v>42</v>
      </c>
      <c r="B43" s="3" t="s">
        <v>92</v>
      </c>
      <c r="C43" s="3" t="s">
        <v>180</v>
      </c>
      <c r="D43" s="3" t="s">
        <v>99</v>
      </c>
      <c r="E43" s="3" t="s">
        <v>181</v>
      </c>
      <c r="F43" s="3" t="s">
        <v>171</v>
      </c>
      <c r="G43" s="3" t="s">
        <v>95</v>
      </c>
      <c r="H43" s="3" t="s">
        <v>96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92</v>
      </c>
      <c r="C44" s="3" t="s">
        <v>182</v>
      </c>
      <c r="D44" s="3" t="s">
        <v>113</v>
      </c>
      <c r="E44" s="3" t="s">
        <v>183</v>
      </c>
      <c r="F44" s="3" t="s">
        <v>184</v>
      </c>
      <c r="G44" s="3" t="s">
        <v>95</v>
      </c>
      <c r="H44" s="3" t="s">
        <v>96</v>
      </c>
      <c r="I44" s="4" t="s">
        <v>76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185</v>
      </c>
    </row>
    <row r="45" customFormat="false" ht="15" hidden="false" customHeight="true" outlineLevel="0" collapsed="false">
      <c r="A45" s="3" t="n">
        <v>44</v>
      </c>
      <c r="B45" s="3" t="s">
        <v>92</v>
      </c>
      <c r="C45" s="3" t="s">
        <v>186</v>
      </c>
      <c r="D45" s="3" t="s">
        <v>128</v>
      </c>
      <c r="E45" s="3" t="s">
        <v>187</v>
      </c>
      <c r="F45" s="3" t="s">
        <v>171</v>
      </c>
      <c r="G45" s="3" t="s">
        <v>95</v>
      </c>
      <c r="H45" s="3" t="s">
        <v>96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92</v>
      </c>
      <c r="C46" s="3" t="s">
        <v>188</v>
      </c>
      <c r="D46" s="3" t="s">
        <v>89</v>
      </c>
      <c r="E46" s="3" t="s">
        <v>189</v>
      </c>
      <c r="F46" s="3" t="s">
        <v>171</v>
      </c>
      <c r="G46" s="3" t="s">
        <v>95</v>
      </c>
      <c r="H46" s="3" t="s">
        <v>96</v>
      </c>
      <c r="I46" s="4" t="s">
        <v>66</v>
      </c>
      <c r="J46" s="5" t="n">
        <v>46317</v>
      </c>
      <c r="K46" s="6" t="n">
        <f aca="false">IF(J46="","",WORKDAY(J46+4,1))</f>
        <v>46322</v>
      </c>
      <c r="L46" s="5"/>
      <c r="M46" s="4"/>
      <c r="N46" s="4"/>
      <c r="O46" s="4" t="s">
        <v>190</v>
      </c>
    </row>
    <row r="47" customFormat="false" ht="15" hidden="false" customHeight="true" outlineLevel="0" collapsed="false">
      <c r="A47" s="3" t="n">
        <v>46</v>
      </c>
      <c r="B47" s="3" t="s">
        <v>92</v>
      </c>
      <c r="C47" s="3" t="s">
        <v>191</v>
      </c>
      <c r="D47" s="3" t="s">
        <v>155</v>
      </c>
      <c r="E47" s="3" t="s">
        <v>192</v>
      </c>
      <c r="F47" s="3" t="s">
        <v>171</v>
      </c>
      <c r="G47" s="3" t="s">
        <v>95</v>
      </c>
      <c r="H47" s="3" t="s">
        <v>96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92</v>
      </c>
      <c r="C48" s="3" t="s">
        <v>193</v>
      </c>
      <c r="D48" s="3" t="s">
        <v>86</v>
      </c>
      <c r="E48" s="3" t="s">
        <v>194</v>
      </c>
      <c r="F48" s="3" t="s">
        <v>195</v>
      </c>
      <c r="G48" s="3" t="s">
        <v>95</v>
      </c>
      <c r="H48" s="3" t="s">
        <v>96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196</v>
      </c>
      <c r="C49" s="3" t="s">
        <v>197</v>
      </c>
      <c r="D49" s="3" t="s">
        <v>89</v>
      </c>
      <c r="E49" s="3" t="s">
        <v>198</v>
      </c>
      <c r="F49" s="3" t="s">
        <v>199</v>
      </c>
      <c r="G49" s="3" t="s">
        <v>135</v>
      </c>
      <c r="H49" s="3" t="s">
        <v>200</v>
      </c>
      <c r="I49" s="4" t="s">
        <v>66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111</v>
      </c>
    </row>
    <row r="50" customFormat="false" ht="15" hidden="false" customHeight="true" outlineLevel="0" collapsed="false">
      <c r="A50" s="3" t="n">
        <v>49</v>
      </c>
      <c r="B50" s="3" t="s">
        <v>196</v>
      </c>
      <c r="C50" s="3" t="s">
        <v>201</v>
      </c>
      <c r="D50" s="3" t="s">
        <v>79</v>
      </c>
      <c r="E50" s="3" t="s">
        <v>202</v>
      </c>
      <c r="F50" s="3" t="s">
        <v>203</v>
      </c>
      <c r="G50" s="3" t="s">
        <v>135</v>
      </c>
      <c r="H50" s="3" t="s">
        <v>200</v>
      </c>
      <c r="I50" s="4" t="s">
        <v>76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204</v>
      </c>
    </row>
    <row r="51" customFormat="false" ht="15" hidden="false" customHeight="true" outlineLevel="0" collapsed="false">
      <c r="A51" s="3" t="n">
        <v>50</v>
      </c>
      <c r="B51" s="3" t="s">
        <v>196</v>
      </c>
      <c r="C51" s="3" t="s">
        <v>205</v>
      </c>
      <c r="D51" s="3" t="s">
        <v>99</v>
      </c>
      <c r="E51" s="3" t="s">
        <v>206</v>
      </c>
      <c r="F51" s="3" t="s">
        <v>199</v>
      </c>
      <c r="G51" s="3" t="s">
        <v>135</v>
      </c>
      <c r="H51" s="3" t="s">
        <v>200</v>
      </c>
      <c r="I51" s="4" t="s">
        <v>66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111</v>
      </c>
    </row>
    <row r="52" customFormat="false" ht="15" hidden="false" customHeight="true" outlineLevel="0" collapsed="false">
      <c r="A52" s="3" t="n">
        <v>51</v>
      </c>
      <c r="B52" s="3" t="s">
        <v>196</v>
      </c>
      <c r="C52" s="3" t="s">
        <v>207</v>
      </c>
      <c r="D52" s="3" t="s">
        <v>79</v>
      </c>
      <c r="E52" s="3" t="s">
        <v>208</v>
      </c>
      <c r="F52" s="3" t="s">
        <v>199</v>
      </c>
      <c r="G52" s="3" t="s">
        <v>135</v>
      </c>
      <c r="H52" s="3" t="s">
        <v>200</v>
      </c>
      <c r="I52" s="4" t="s">
        <v>66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111</v>
      </c>
    </row>
    <row r="53" customFormat="false" ht="15" hidden="false" customHeight="true" outlineLevel="0" collapsed="false">
      <c r="A53" s="3" t="n">
        <v>52</v>
      </c>
      <c r="B53" s="3" t="s">
        <v>196</v>
      </c>
      <c r="C53" s="3" t="s">
        <v>209</v>
      </c>
      <c r="D53" s="3" t="s">
        <v>99</v>
      </c>
      <c r="E53" s="3" t="s">
        <v>210</v>
      </c>
      <c r="F53" s="3" t="s">
        <v>199</v>
      </c>
      <c r="G53" s="3" t="s">
        <v>135</v>
      </c>
      <c r="H53" s="3" t="s">
        <v>200</v>
      </c>
      <c r="I53" s="4" t="s">
        <v>66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111</v>
      </c>
    </row>
    <row r="54" customFormat="false" ht="15" hidden="false" customHeight="true" outlineLevel="0" collapsed="false">
      <c r="A54" s="3" t="n">
        <v>53</v>
      </c>
      <c r="B54" s="3" t="s">
        <v>196</v>
      </c>
      <c r="C54" s="3" t="s">
        <v>211</v>
      </c>
      <c r="D54" s="3" t="s">
        <v>128</v>
      </c>
      <c r="E54" s="3" t="s">
        <v>212</v>
      </c>
      <c r="F54" s="3" t="s">
        <v>199</v>
      </c>
      <c r="G54" s="3" t="s">
        <v>135</v>
      </c>
      <c r="H54" s="3" t="s">
        <v>200</v>
      </c>
      <c r="I54" s="4" t="s">
        <v>66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111</v>
      </c>
    </row>
    <row r="55" customFormat="false" ht="15" hidden="false" customHeight="true" outlineLevel="0" collapsed="false">
      <c r="A55" s="3" t="n">
        <v>54</v>
      </c>
      <c r="B55" s="3" t="s">
        <v>196</v>
      </c>
      <c r="C55" s="3" t="s">
        <v>213</v>
      </c>
      <c r="D55" s="3" t="s">
        <v>79</v>
      </c>
      <c r="E55" s="3" t="s">
        <v>214</v>
      </c>
      <c r="F55" s="3" t="s">
        <v>215</v>
      </c>
      <c r="G55" s="3" t="s">
        <v>135</v>
      </c>
      <c r="H55" s="3" t="s">
        <v>200</v>
      </c>
      <c r="I55" s="4" t="s">
        <v>66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111</v>
      </c>
    </row>
    <row r="56" customFormat="false" ht="15" hidden="false" customHeight="true" outlineLevel="0" collapsed="false">
      <c r="A56" s="3" t="n">
        <v>55</v>
      </c>
      <c r="B56" s="3" t="s">
        <v>196</v>
      </c>
      <c r="C56" s="3" t="s">
        <v>216</v>
      </c>
      <c r="D56" s="3" t="s">
        <v>128</v>
      </c>
      <c r="E56" s="3" t="s">
        <v>217</v>
      </c>
      <c r="F56" s="3" t="s">
        <v>218</v>
      </c>
      <c r="G56" s="3" t="s">
        <v>135</v>
      </c>
      <c r="H56" s="3" t="s">
        <v>200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196</v>
      </c>
      <c r="C57" s="3" t="s">
        <v>219</v>
      </c>
      <c r="D57" s="3" t="s">
        <v>128</v>
      </c>
      <c r="E57" s="3" t="s">
        <v>220</v>
      </c>
      <c r="F57" s="3" t="s">
        <v>221</v>
      </c>
      <c r="G57" s="3" t="s">
        <v>135</v>
      </c>
      <c r="H57" s="3" t="s">
        <v>200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196</v>
      </c>
      <c r="C58" s="3" t="s">
        <v>222</v>
      </c>
      <c r="D58" s="3" t="s">
        <v>99</v>
      </c>
      <c r="E58" s="3" t="s">
        <v>223</v>
      </c>
      <c r="F58" s="3" t="s">
        <v>224</v>
      </c>
      <c r="G58" s="3" t="s">
        <v>135</v>
      </c>
      <c r="H58" s="3" t="s">
        <v>200</v>
      </c>
      <c r="I58" s="4" t="s">
        <v>76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225</v>
      </c>
    </row>
    <row r="59" customFormat="false" ht="15" hidden="false" customHeight="true" outlineLevel="0" collapsed="false">
      <c r="A59" s="3" t="n">
        <v>58</v>
      </c>
      <c r="B59" s="3" t="s">
        <v>226</v>
      </c>
      <c r="C59" s="3" t="s">
        <v>227</v>
      </c>
      <c r="D59" s="3" t="s">
        <v>17</v>
      </c>
      <c r="E59" s="3" t="s">
        <v>228</v>
      </c>
      <c r="F59" s="3" t="s">
        <v>229</v>
      </c>
      <c r="G59" s="3" t="s">
        <v>135</v>
      </c>
      <c r="H59" s="3" t="s">
        <v>230</v>
      </c>
      <c r="I59" s="4" t="s">
        <v>76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231</v>
      </c>
    </row>
    <row r="60" customFormat="false" ht="15" hidden="false" customHeight="true" outlineLevel="0" collapsed="false">
      <c r="A60" s="3" t="n">
        <v>59</v>
      </c>
      <c r="B60" s="3" t="s">
        <v>226</v>
      </c>
      <c r="C60" s="3" t="s">
        <v>232</v>
      </c>
      <c r="D60" s="3" t="s">
        <v>113</v>
      </c>
      <c r="E60" s="3" t="s">
        <v>233</v>
      </c>
      <c r="F60" s="3" t="s">
        <v>234</v>
      </c>
      <c r="G60" s="3" t="s">
        <v>135</v>
      </c>
      <c r="H60" s="3" t="s">
        <v>230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226</v>
      </c>
      <c r="C61" s="3" t="s">
        <v>235</v>
      </c>
      <c r="D61" s="3" t="s">
        <v>61</v>
      </c>
      <c r="E61" s="3" t="s">
        <v>236</v>
      </c>
      <c r="F61" s="3" t="s">
        <v>234</v>
      </c>
      <c r="G61" s="3" t="s">
        <v>135</v>
      </c>
      <c r="H61" s="3" t="s">
        <v>230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226</v>
      </c>
      <c r="C62" s="3" t="s">
        <v>237</v>
      </c>
      <c r="D62" s="3" t="s">
        <v>86</v>
      </c>
      <c r="E62" s="3" t="s">
        <v>238</v>
      </c>
      <c r="F62" s="3" t="s">
        <v>234</v>
      </c>
      <c r="G62" s="3" t="s">
        <v>135</v>
      </c>
      <c r="H62" s="3" t="s">
        <v>230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226</v>
      </c>
      <c r="C63" s="3" t="s">
        <v>239</v>
      </c>
      <c r="D63" s="3" t="s">
        <v>61</v>
      </c>
      <c r="E63" s="3" t="s">
        <v>240</v>
      </c>
      <c r="F63" s="3" t="s">
        <v>234</v>
      </c>
      <c r="G63" s="3" t="s">
        <v>135</v>
      </c>
      <c r="H63" s="3" t="s">
        <v>230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226</v>
      </c>
      <c r="C64" s="3" t="s">
        <v>241</v>
      </c>
      <c r="D64" s="3" t="s">
        <v>128</v>
      </c>
      <c r="E64" s="3" t="s">
        <v>242</v>
      </c>
      <c r="F64" s="3" t="s">
        <v>234</v>
      </c>
      <c r="G64" s="3" t="s">
        <v>135</v>
      </c>
      <c r="H64" s="3" t="s">
        <v>230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226</v>
      </c>
      <c r="C65" s="3" t="s">
        <v>243</v>
      </c>
      <c r="D65" s="3" t="s">
        <v>99</v>
      </c>
      <c r="E65" s="3" t="s">
        <v>244</v>
      </c>
      <c r="F65" s="3" t="s">
        <v>234</v>
      </c>
      <c r="G65" s="3" t="s">
        <v>135</v>
      </c>
      <c r="H65" s="3" t="s">
        <v>230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226</v>
      </c>
      <c r="C66" s="3" t="s">
        <v>245</v>
      </c>
      <c r="D66" s="3" t="s">
        <v>89</v>
      </c>
      <c r="E66" s="3" t="s">
        <v>246</v>
      </c>
      <c r="F66" s="3" t="s">
        <v>247</v>
      </c>
      <c r="G66" s="3" t="s">
        <v>135</v>
      </c>
      <c r="H66" s="3" t="s">
        <v>230</v>
      </c>
      <c r="I66" s="4" t="s">
        <v>66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111</v>
      </c>
    </row>
    <row r="67" customFormat="false" ht="15" hidden="false" customHeight="true" outlineLevel="0" collapsed="false">
      <c r="A67" s="3" t="n">
        <v>66</v>
      </c>
      <c r="B67" s="3" t="s">
        <v>248</v>
      </c>
      <c r="C67" s="3" t="s">
        <v>249</v>
      </c>
      <c r="D67" s="3" t="s">
        <v>17</v>
      </c>
      <c r="E67" s="3" t="s">
        <v>250</v>
      </c>
      <c r="F67" s="3" t="s">
        <v>251</v>
      </c>
      <c r="G67" s="3" t="s">
        <v>252</v>
      </c>
      <c r="H67" s="3" t="s">
        <v>253</v>
      </c>
      <c r="I67" s="4" t="s">
        <v>66</v>
      </c>
      <c r="J67" s="5" t="n">
        <v>46317</v>
      </c>
      <c r="K67" s="6" t="n">
        <f aca="false">IF(J67="","",WORKDAY(J67+4,1))</f>
        <v>46322</v>
      </c>
      <c r="L67" s="5"/>
      <c r="M67" s="4"/>
      <c r="N67" s="4"/>
      <c r="O67" s="4" t="s">
        <v>254</v>
      </c>
    </row>
    <row r="68" customFormat="false" ht="15" hidden="false" customHeight="true" outlineLevel="0" collapsed="false">
      <c r="A68" s="3" t="n">
        <v>67</v>
      </c>
      <c r="B68" s="3" t="s">
        <v>248</v>
      </c>
      <c r="C68" s="3" t="s">
        <v>255</v>
      </c>
      <c r="D68" s="3" t="s">
        <v>17</v>
      </c>
      <c r="E68" s="3" t="s">
        <v>256</v>
      </c>
      <c r="F68" s="3" t="s">
        <v>257</v>
      </c>
      <c r="G68" s="3" t="s">
        <v>252</v>
      </c>
      <c r="H68" s="3" t="s">
        <v>258</v>
      </c>
      <c r="I68" s="4" t="s">
        <v>66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111</v>
      </c>
    </row>
    <row r="69" customFormat="false" ht="15" hidden="false" customHeight="true" outlineLevel="0" collapsed="false">
      <c r="A69" s="3" t="n">
        <v>68</v>
      </c>
      <c r="B69" s="3" t="s">
        <v>248</v>
      </c>
      <c r="C69" s="3" t="s">
        <v>259</v>
      </c>
      <c r="D69" s="3" t="s">
        <v>69</v>
      </c>
      <c r="E69" s="3" t="s">
        <v>260</v>
      </c>
      <c r="F69" s="3" t="s">
        <v>261</v>
      </c>
      <c r="G69" s="3" t="s">
        <v>252</v>
      </c>
      <c r="H69" s="3" t="s">
        <v>258</v>
      </c>
      <c r="I69" s="4" t="s">
        <v>76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225</v>
      </c>
    </row>
    <row r="70" customFormat="false" ht="15" hidden="false" customHeight="true" outlineLevel="0" collapsed="false">
      <c r="A70" s="3" t="n">
        <v>69</v>
      </c>
      <c r="B70" s="3" t="s">
        <v>248</v>
      </c>
      <c r="C70" s="3" t="s">
        <v>262</v>
      </c>
      <c r="D70" s="3" t="s">
        <v>17</v>
      </c>
      <c r="E70" s="3" t="s">
        <v>263</v>
      </c>
      <c r="F70" s="3" t="s">
        <v>264</v>
      </c>
      <c r="G70" s="3" t="s">
        <v>252</v>
      </c>
      <c r="H70" s="3" t="s">
        <v>258</v>
      </c>
      <c r="I70" s="4" t="s">
        <v>66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111</v>
      </c>
    </row>
    <row r="71" customFormat="false" ht="15" hidden="false" customHeight="true" outlineLevel="0" collapsed="false">
      <c r="A71" s="3" t="n">
        <v>70</v>
      </c>
      <c r="B71" s="3" t="s">
        <v>248</v>
      </c>
      <c r="C71" s="3" t="s">
        <v>265</v>
      </c>
      <c r="D71" s="3" t="s">
        <v>86</v>
      </c>
      <c r="E71" s="3" t="s">
        <v>266</v>
      </c>
      <c r="F71" s="3" t="s">
        <v>267</v>
      </c>
      <c r="G71" s="3" t="s">
        <v>268</v>
      </c>
      <c r="H71" s="3" t="s">
        <v>269</v>
      </c>
      <c r="I71" s="4" t="s">
        <v>66</v>
      </c>
      <c r="J71" s="5" t="n">
        <v>46317</v>
      </c>
      <c r="K71" s="6" t="n">
        <f aca="false">IF(J71="","",WORKDAY(J71+4,1))</f>
        <v>46322</v>
      </c>
      <c r="L71" s="5"/>
      <c r="M71" s="4"/>
      <c r="N71" s="4"/>
      <c r="O71" s="4" t="s">
        <v>190</v>
      </c>
    </row>
    <row r="72" customFormat="false" ht="15" hidden="false" customHeight="true" outlineLevel="0" collapsed="false">
      <c r="A72" s="3" t="n">
        <v>71</v>
      </c>
      <c r="B72" s="3" t="s">
        <v>248</v>
      </c>
      <c r="C72" s="3" t="s">
        <v>270</v>
      </c>
      <c r="D72" s="3" t="s">
        <v>99</v>
      </c>
      <c r="E72" s="3" t="s">
        <v>271</v>
      </c>
      <c r="F72" s="3" t="s">
        <v>272</v>
      </c>
      <c r="G72" s="3" t="s">
        <v>252</v>
      </c>
      <c r="H72" s="3" t="s">
        <v>258</v>
      </c>
      <c r="I72" s="4" t="s">
        <v>66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111</v>
      </c>
    </row>
    <row r="73" customFormat="false" ht="15" hidden="false" customHeight="true" outlineLevel="0" collapsed="false">
      <c r="A73" s="3" t="n">
        <v>72</v>
      </c>
      <c r="B73" s="3" t="s">
        <v>248</v>
      </c>
      <c r="C73" s="3" t="s">
        <v>273</v>
      </c>
      <c r="D73" s="3" t="s">
        <v>73</v>
      </c>
      <c r="E73" s="3" t="s">
        <v>274</v>
      </c>
      <c r="F73" s="3" t="s">
        <v>275</v>
      </c>
      <c r="G73" s="3" t="s">
        <v>252</v>
      </c>
      <c r="H73" s="3" t="s">
        <v>258</v>
      </c>
      <c r="I73" s="4" t="s">
        <v>66</v>
      </c>
      <c r="J73" s="5" t="n">
        <v>46317</v>
      </c>
      <c r="K73" s="6" t="n">
        <f aca="false">IF(J73="","",WORKDAY(J73+4,1))</f>
        <v>46322</v>
      </c>
      <c r="L73" s="5"/>
      <c r="M73" s="4"/>
      <c r="N73" s="4"/>
      <c r="O73" s="4" t="s">
        <v>190</v>
      </c>
    </row>
    <row r="74" customFormat="false" ht="15" hidden="false" customHeight="true" outlineLevel="0" collapsed="false">
      <c r="A74" s="3" t="n">
        <v>73</v>
      </c>
      <c r="B74" s="3" t="s">
        <v>248</v>
      </c>
      <c r="C74" s="3" t="s">
        <v>276</v>
      </c>
      <c r="D74" s="3" t="s">
        <v>61</v>
      </c>
      <c r="E74" s="3" t="s">
        <v>277</v>
      </c>
      <c r="F74" s="3" t="s">
        <v>278</v>
      </c>
      <c r="G74" s="3" t="s">
        <v>252</v>
      </c>
      <c r="H74" s="3" t="s">
        <v>258</v>
      </c>
      <c r="I74" s="4" t="s">
        <v>66</v>
      </c>
      <c r="J74" s="5" t="n">
        <v>46317</v>
      </c>
      <c r="K74" s="6" t="n">
        <f aca="false">IF(J74="","",WORKDAY(J74+4,1))</f>
        <v>46322</v>
      </c>
      <c r="L74" s="5"/>
      <c r="M74" s="4"/>
      <c r="N74" s="4"/>
      <c r="O74" s="4" t="s">
        <v>190</v>
      </c>
    </row>
    <row r="75" customFormat="false" ht="15" hidden="false" customHeight="true" outlineLevel="0" collapsed="false">
      <c r="A75" s="3" t="n">
        <v>74</v>
      </c>
      <c r="B75" s="3" t="s">
        <v>248</v>
      </c>
      <c r="C75" s="3" t="s">
        <v>279</v>
      </c>
      <c r="D75" s="3" t="s">
        <v>104</v>
      </c>
      <c r="E75" s="3" t="s">
        <v>280</v>
      </c>
      <c r="F75" s="3" t="s">
        <v>281</v>
      </c>
      <c r="G75" s="3" t="s">
        <v>268</v>
      </c>
      <c r="H75" s="3" t="s">
        <v>282</v>
      </c>
      <c r="I75" s="4" t="s">
        <v>66</v>
      </c>
      <c r="J75" s="5" t="n">
        <v>46317</v>
      </c>
      <c r="K75" s="6" t="n">
        <f aca="false">IF(J75="","",WORKDAY(J75+4,1))</f>
        <v>46322</v>
      </c>
      <c r="L75" s="5"/>
      <c r="M75" s="4"/>
      <c r="N75" s="4"/>
      <c r="O75" s="4" t="s">
        <v>190</v>
      </c>
    </row>
    <row r="76" customFormat="false" ht="15" hidden="false" customHeight="true" outlineLevel="0" collapsed="false">
      <c r="A76" s="3" t="n">
        <v>75</v>
      </c>
      <c r="B76" s="3" t="s">
        <v>248</v>
      </c>
      <c r="C76" s="3" t="s">
        <v>283</v>
      </c>
      <c r="D76" s="3" t="s">
        <v>155</v>
      </c>
      <c r="E76" s="3" t="s">
        <v>284</v>
      </c>
      <c r="F76" s="3" t="s">
        <v>285</v>
      </c>
      <c r="G76" s="3" t="s">
        <v>252</v>
      </c>
      <c r="H76" s="3" t="s">
        <v>258</v>
      </c>
      <c r="I76" s="4" t="s">
        <v>66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111</v>
      </c>
    </row>
    <row r="77" customFormat="false" ht="15" hidden="false" customHeight="true" outlineLevel="0" collapsed="false">
      <c r="A77" s="3" t="n">
        <v>76</v>
      </c>
      <c r="B77" s="3" t="s">
        <v>248</v>
      </c>
      <c r="C77" s="3" t="s">
        <v>286</v>
      </c>
      <c r="D77" s="3" t="s">
        <v>113</v>
      </c>
      <c r="E77" s="3" t="s">
        <v>287</v>
      </c>
      <c r="F77" s="3" t="s">
        <v>288</v>
      </c>
      <c r="G77" s="3" t="s">
        <v>252</v>
      </c>
      <c r="H77" s="3" t="s">
        <v>258</v>
      </c>
      <c r="I77" s="4" t="s">
        <v>66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111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289</v>
      </c>
      <c r="D78" s="3" t="s">
        <v>17</v>
      </c>
      <c r="E78" s="3" t="s">
        <v>290</v>
      </c>
      <c r="F78" s="3" t="s">
        <v>291</v>
      </c>
      <c r="G78" s="3" t="s">
        <v>292</v>
      </c>
      <c r="H78" s="3" t="s">
        <v>21</v>
      </c>
      <c r="I78" s="4" t="s">
        <v>76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293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294</v>
      </c>
      <c r="D79" s="3" t="s">
        <v>17</v>
      </c>
      <c r="E79" s="3" t="s">
        <v>295</v>
      </c>
      <c r="F79" s="3" t="s">
        <v>296</v>
      </c>
      <c r="G79" s="3" t="s">
        <v>297</v>
      </c>
      <c r="H79" s="3" t="s">
        <v>298</v>
      </c>
      <c r="I79" s="4" t="s">
        <v>66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111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299</v>
      </c>
      <c r="D80" s="3" t="s">
        <v>17</v>
      </c>
      <c r="E80" s="3" t="s">
        <v>300</v>
      </c>
      <c r="F80" s="3" t="s">
        <v>301</v>
      </c>
      <c r="G80" s="3" t="s">
        <v>37</v>
      </c>
      <c r="H80" s="3" t="s">
        <v>302</v>
      </c>
      <c r="I80" s="4" t="s">
        <v>66</v>
      </c>
      <c r="J80" s="5" t="n">
        <v>46317</v>
      </c>
      <c r="K80" s="6" t="n">
        <f aca="false">IF(J80="","",WORKDAY(J80+4,1))</f>
        <v>46322</v>
      </c>
      <c r="L80" s="5"/>
      <c r="M80" s="4"/>
      <c r="N80" s="4"/>
      <c r="O80" s="4" t="s">
        <v>303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304</v>
      </c>
      <c r="D81" s="3" t="s">
        <v>99</v>
      </c>
      <c r="E81" s="3" t="s">
        <v>305</v>
      </c>
      <c r="F81" s="3" t="s">
        <v>306</v>
      </c>
      <c r="G81" s="3" t="s">
        <v>297</v>
      </c>
      <c r="H81" s="3" t="s">
        <v>298</v>
      </c>
      <c r="I81" s="4" t="s">
        <v>66</v>
      </c>
      <c r="J81" s="5" t="n">
        <v>46317</v>
      </c>
      <c r="K81" s="6" t="n">
        <f aca="false">IF(J81="","",WORKDAY(J81+4,1))</f>
        <v>46322</v>
      </c>
      <c r="L81" s="5"/>
      <c r="M81" s="4"/>
      <c r="N81" s="4"/>
      <c r="O81" s="4" t="s">
        <v>190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307</v>
      </c>
      <c r="D82" s="3" t="s">
        <v>17</v>
      </c>
      <c r="E82" s="3" t="s">
        <v>308</v>
      </c>
      <c r="F82" s="3" t="s">
        <v>234</v>
      </c>
      <c r="G82" s="3" t="s">
        <v>64</v>
      </c>
      <c r="H82" s="3" t="s">
        <v>309</v>
      </c>
      <c r="I82" s="4" t="s">
        <v>66</v>
      </c>
      <c r="J82" s="5" t="n">
        <v>46317</v>
      </c>
      <c r="K82" s="6" t="n">
        <f aca="false">IF(J82="","",WORKDAY(J82+4,1))</f>
        <v>46322</v>
      </c>
      <c r="L82" s="5"/>
      <c r="M82" s="4"/>
      <c r="N82" s="4"/>
      <c r="O82" s="4" t="s">
        <v>190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310</v>
      </c>
      <c r="D83" s="3" t="s">
        <v>17</v>
      </c>
      <c r="E83" s="3" t="s">
        <v>311</v>
      </c>
      <c r="F83" s="3" t="s">
        <v>312</v>
      </c>
      <c r="G83" s="3" t="s">
        <v>252</v>
      </c>
      <c r="H83" s="3" t="s">
        <v>313</v>
      </c>
      <c r="I83" s="4" t="s">
        <v>66</v>
      </c>
      <c r="J83" s="5" t="n">
        <v>46317</v>
      </c>
      <c r="K83" s="6" t="n">
        <f aca="false">IF(J83="","",WORKDAY(J83+4,1))</f>
        <v>46322</v>
      </c>
      <c r="L83" s="5"/>
      <c r="M83" s="4"/>
      <c r="N83" s="4"/>
      <c r="O83" s="4" t="s">
        <v>190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314</v>
      </c>
      <c r="D84" s="3" t="s">
        <v>17</v>
      </c>
      <c r="E84" s="3" t="s">
        <v>315</v>
      </c>
      <c r="F84" s="3" t="s">
        <v>316</v>
      </c>
      <c r="G84" s="3" t="s">
        <v>317</v>
      </c>
      <c r="H84" s="3" t="s">
        <v>318</v>
      </c>
      <c r="I84" s="4" t="s">
        <v>66</v>
      </c>
      <c r="J84" s="5" t="n">
        <v>46317</v>
      </c>
      <c r="K84" s="6" t="n">
        <f aca="false">IF(J84="","",WORKDAY(J84+4,1))</f>
        <v>46322</v>
      </c>
      <c r="L84" s="5"/>
      <c r="M84" s="4"/>
      <c r="N84" s="4"/>
      <c r="O84" s="4" t="s">
        <v>190</v>
      </c>
    </row>
    <row r="85" customFormat="false" ht="15" hidden="false" customHeight="true" outlineLevel="0" collapsed="false">
      <c r="A85" s="3" t="n">
        <v>84</v>
      </c>
      <c r="B85" s="3" t="s">
        <v>319</v>
      </c>
      <c r="C85" s="3" t="s">
        <v>320</v>
      </c>
      <c r="D85" s="3" t="s">
        <v>17</v>
      </c>
      <c r="E85" s="3" t="s">
        <v>321</v>
      </c>
      <c r="F85" s="3" t="s">
        <v>322</v>
      </c>
      <c r="G85" s="3" t="s">
        <v>135</v>
      </c>
      <c r="H85" s="3" t="s">
        <v>323</v>
      </c>
      <c r="I85" s="4" t="s">
        <v>66</v>
      </c>
      <c r="J85" s="5" t="n">
        <v>46317</v>
      </c>
      <c r="K85" s="6" t="n">
        <f aca="false">IF(J85="","",WORKDAY(J85+4,1))</f>
        <v>46322</v>
      </c>
      <c r="L85" s="5"/>
      <c r="M85" s="4"/>
      <c r="N85" s="4"/>
      <c r="O85" s="4" t="s">
        <v>190</v>
      </c>
    </row>
    <row r="86" customFormat="false" ht="15" hidden="false" customHeight="true" outlineLevel="0" collapsed="false">
      <c r="A86" s="3" t="n">
        <v>85</v>
      </c>
      <c r="B86" s="3" t="s">
        <v>319</v>
      </c>
      <c r="C86" s="3" t="s">
        <v>324</v>
      </c>
      <c r="D86" s="3" t="s">
        <v>104</v>
      </c>
      <c r="E86" s="3" t="s">
        <v>325</v>
      </c>
      <c r="F86" s="3" t="s">
        <v>326</v>
      </c>
      <c r="G86" s="3" t="s">
        <v>135</v>
      </c>
      <c r="H86" s="3" t="s">
        <v>323</v>
      </c>
      <c r="I86" s="4" t="s">
        <v>66</v>
      </c>
      <c r="J86" s="5" t="n">
        <v>46318</v>
      </c>
      <c r="K86" s="6" t="n">
        <f aca="false">IF(J86="","",WORKDAY(J86+4,1))</f>
        <v>46323</v>
      </c>
      <c r="L86" s="5"/>
      <c r="M86" s="4"/>
      <c r="N86" s="4"/>
      <c r="O86" s="4" t="s">
        <v>67</v>
      </c>
    </row>
    <row r="87" customFormat="false" ht="15" hidden="false" customHeight="true" outlineLevel="0" collapsed="false">
      <c r="A87" s="3" t="n">
        <v>86</v>
      </c>
      <c r="B87" s="3" t="s">
        <v>319</v>
      </c>
      <c r="C87" s="3" t="s">
        <v>327</v>
      </c>
      <c r="D87" s="3" t="s">
        <v>17</v>
      </c>
      <c r="E87" s="3" t="s">
        <v>328</v>
      </c>
      <c r="F87" s="3" t="s">
        <v>329</v>
      </c>
      <c r="G87" s="3" t="s">
        <v>330</v>
      </c>
      <c r="H87" s="3" t="s">
        <v>331</v>
      </c>
      <c r="I87" s="4" t="s">
        <v>66</v>
      </c>
      <c r="J87" s="5" t="n">
        <v>46318</v>
      </c>
      <c r="K87" s="6" t="n">
        <f aca="false">IF(J87="","",WORKDAY(J87+4,1))</f>
        <v>46323</v>
      </c>
      <c r="L87" s="5"/>
      <c r="M87" s="4"/>
      <c r="N87" s="4"/>
      <c r="O87" s="4" t="s">
        <v>67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332</v>
      </c>
      <c r="D88" s="3" t="s">
        <v>61</v>
      </c>
      <c r="E88" s="3" t="s">
        <v>333</v>
      </c>
      <c r="F88" s="3" t="s">
        <v>171</v>
      </c>
      <c r="G88" s="3" t="s">
        <v>334</v>
      </c>
      <c r="H88" s="3" t="s">
        <v>335</v>
      </c>
      <c r="I88" s="4" t="s">
        <v>66</v>
      </c>
      <c r="J88" s="5" t="n">
        <v>46318</v>
      </c>
      <c r="K88" s="6" t="n">
        <f aca="false">IF(J88="","",WORKDAY(J88+4,1))</f>
        <v>46323</v>
      </c>
      <c r="L88" s="5"/>
      <c r="M88" s="4"/>
      <c r="N88" s="4"/>
      <c r="O88" s="4" t="s">
        <v>336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337</v>
      </c>
      <c r="D89" s="3" t="s">
        <v>17</v>
      </c>
      <c r="E89" s="3" t="s">
        <v>338</v>
      </c>
      <c r="F89" s="3" t="s">
        <v>339</v>
      </c>
      <c r="G89" s="3" t="s">
        <v>334</v>
      </c>
      <c r="H89" s="3" t="s">
        <v>335</v>
      </c>
      <c r="I89" s="4" t="s">
        <v>66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111</v>
      </c>
    </row>
    <row r="90" customFormat="false" ht="15" hidden="false" customHeight="true" outlineLevel="0" collapsed="false">
      <c r="A90" s="3" t="n">
        <v>89</v>
      </c>
      <c r="B90" s="3" t="s">
        <v>131</v>
      </c>
      <c r="C90" s="3" t="s">
        <v>340</v>
      </c>
      <c r="D90" s="3" t="s">
        <v>73</v>
      </c>
      <c r="E90" s="3" t="s">
        <v>341</v>
      </c>
      <c r="F90" s="3" t="s">
        <v>342</v>
      </c>
      <c r="G90" s="3" t="s">
        <v>135</v>
      </c>
      <c r="H90" s="3" t="s">
        <v>200</v>
      </c>
      <c r="I90" s="4" t="s">
        <v>66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111</v>
      </c>
    </row>
    <row r="91" customFormat="false" ht="15" hidden="false" customHeight="true" outlineLevel="0" collapsed="false">
      <c r="A91" s="3" t="n">
        <v>90</v>
      </c>
      <c r="B91" s="3" t="s">
        <v>131</v>
      </c>
      <c r="C91" s="3" t="s">
        <v>343</v>
      </c>
      <c r="D91" s="3" t="s">
        <v>73</v>
      </c>
      <c r="E91" s="3" t="s">
        <v>344</v>
      </c>
      <c r="F91" s="3" t="s">
        <v>345</v>
      </c>
      <c r="G91" s="3" t="s">
        <v>135</v>
      </c>
      <c r="H91" s="3" t="s">
        <v>200</v>
      </c>
      <c r="I91" s="4" t="s">
        <v>66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111</v>
      </c>
    </row>
    <row r="92" customFormat="false" ht="15" hidden="false" customHeight="true" outlineLevel="0" collapsed="false">
      <c r="A92" s="3" t="n">
        <v>91</v>
      </c>
      <c r="B92" s="3" t="s">
        <v>131</v>
      </c>
      <c r="C92" s="3" t="s">
        <v>346</v>
      </c>
      <c r="D92" s="3" t="s">
        <v>61</v>
      </c>
      <c r="E92" s="3" t="s">
        <v>347</v>
      </c>
      <c r="F92" s="3" t="s">
        <v>348</v>
      </c>
      <c r="G92" s="3" t="s">
        <v>135</v>
      </c>
      <c r="H92" s="3" t="s">
        <v>200</v>
      </c>
      <c r="I92" s="4" t="s">
        <v>66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111</v>
      </c>
    </row>
    <row r="93" customFormat="false" ht="15" hidden="false" customHeight="true" outlineLevel="0" collapsed="false">
      <c r="A93" s="3" t="n">
        <v>92</v>
      </c>
      <c r="B93" s="3" t="s">
        <v>131</v>
      </c>
      <c r="C93" s="3" t="s">
        <v>349</v>
      </c>
      <c r="D93" s="3" t="s">
        <v>73</v>
      </c>
      <c r="E93" s="3" t="s">
        <v>350</v>
      </c>
      <c r="F93" s="3" t="s">
        <v>351</v>
      </c>
      <c r="G93" s="3" t="s">
        <v>135</v>
      </c>
      <c r="H93" s="3" t="s">
        <v>200</v>
      </c>
      <c r="I93" s="4" t="s">
        <v>66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111</v>
      </c>
    </row>
    <row r="94" customFormat="false" ht="15" hidden="false" customHeight="true" outlineLevel="0" collapsed="false">
      <c r="A94" s="3" t="n">
        <v>93</v>
      </c>
      <c r="B94" s="3" t="s">
        <v>131</v>
      </c>
      <c r="C94" s="3" t="s">
        <v>352</v>
      </c>
      <c r="D94" s="3" t="s">
        <v>99</v>
      </c>
      <c r="E94" s="3" t="s">
        <v>353</v>
      </c>
      <c r="F94" s="3" t="s">
        <v>354</v>
      </c>
      <c r="G94" s="3" t="s">
        <v>135</v>
      </c>
      <c r="H94" s="3" t="s">
        <v>200</v>
      </c>
      <c r="I94" s="4" t="s">
        <v>66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111</v>
      </c>
    </row>
    <row r="95" customFormat="false" ht="15" hidden="false" customHeight="true" outlineLevel="0" collapsed="false">
      <c r="A95" s="3" t="n">
        <v>94</v>
      </c>
      <c r="B95" s="3" t="s">
        <v>131</v>
      </c>
      <c r="C95" s="3" t="s">
        <v>355</v>
      </c>
      <c r="D95" s="3" t="s">
        <v>69</v>
      </c>
      <c r="E95" s="3" t="s">
        <v>356</v>
      </c>
      <c r="F95" s="3" t="s">
        <v>357</v>
      </c>
      <c r="G95" s="3" t="s">
        <v>135</v>
      </c>
      <c r="H95" s="3" t="s">
        <v>200</v>
      </c>
      <c r="I95" s="4" t="s">
        <v>66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111</v>
      </c>
    </row>
    <row r="96" customFormat="false" ht="15" hidden="false" customHeight="true" outlineLevel="0" collapsed="false">
      <c r="A96" s="3" t="n">
        <v>95</v>
      </c>
      <c r="B96" s="3" t="s">
        <v>131</v>
      </c>
      <c r="C96" s="3" t="s">
        <v>358</v>
      </c>
      <c r="D96" s="3" t="s">
        <v>69</v>
      </c>
      <c r="E96" s="3" t="s">
        <v>359</v>
      </c>
      <c r="F96" s="3" t="s">
        <v>357</v>
      </c>
      <c r="G96" s="3" t="s">
        <v>135</v>
      </c>
      <c r="H96" s="3" t="s">
        <v>200</v>
      </c>
      <c r="I96" s="4" t="s">
        <v>66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111</v>
      </c>
    </row>
    <row r="97" customFormat="false" ht="15" hidden="false" customHeight="true" outlineLevel="0" collapsed="false">
      <c r="A97" s="3" t="n">
        <v>96</v>
      </c>
      <c r="B97" s="3" t="s">
        <v>131</v>
      </c>
      <c r="C97" s="3" t="s">
        <v>360</v>
      </c>
      <c r="D97" s="3" t="s">
        <v>69</v>
      </c>
      <c r="E97" s="3" t="s">
        <v>361</v>
      </c>
      <c r="F97" s="3" t="s">
        <v>357</v>
      </c>
      <c r="G97" s="3" t="s">
        <v>135</v>
      </c>
      <c r="H97" s="3" t="s">
        <v>200</v>
      </c>
      <c r="I97" s="4" t="s">
        <v>66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111</v>
      </c>
    </row>
    <row r="98" customFormat="false" ht="15" hidden="false" customHeight="true" outlineLevel="0" collapsed="false">
      <c r="A98" s="3" t="n">
        <v>97</v>
      </c>
      <c r="B98" s="3" t="s">
        <v>196</v>
      </c>
      <c r="C98" s="3" t="s">
        <v>362</v>
      </c>
      <c r="D98" s="3" t="s">
        <v>79</v>
      </c>
      <c r="E98" s="3" t="s">
        <v>363</v>
      </c>
      <c r="F98" s="3" t="s">
        <v>199</v>
      </c>
      <c r="G98" s="3" t="s">
        <v>364</v>
      </c>
      <c r="H98" s="3" t="s">
        <v>200</v>
      </c>
      <c r="I98" s="4" t="s">
        <v>66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111</v>
      </c>
    </row>
    <row r="99" customFormat="false" ht="15" hidden="false" customHeight="true" outlineLevel="0" collapsed="false">
      <c r="A99" s="3" t="n">
        <v>98</v>
      </c>
      <c r="B99" s="3" t="s">
        <v>196</v>
      </c>
      <c r="C99" s="3" t="s">
        <v>365</v>
      </c>
      <c r="D99" s="3" t="s">
        <v>155</v>
      </c>
      <c r="E99" s="3" t="s">
        <v>366</v>
      </c>
      <c r="F99" s="3" t="s">
        <v>199</v>
      </c>
      <c r="G99" s="3" t="s">
        <v>364</v>
      </c>
      <c r="H99" s="3" t="s">
        <v>200</v>
      </c>
      <c r="I99" s="4" t="s">
        <v>66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111</v>
      </c>
    </row>
    <row r="100" customFormat="false" ht="15" hidden="false" customHeight="true" outlineLevel="0" collapsed="false">
      <c r="A100" s="3" t="n">
        <v>99</v>
      </c>
      <c r="B100" s="3" t="s">
        <v>196</v>
      </c>
      <c r="C100" s="3" t="s">
        <v>367</v>
      </c>
      <c r="D100" s="3" t="s">
        <v>368</v>
      </c>
      <c r="E100" s="3" t="s">
        <v>369</v>
      </c>
      <c r="F100" s="3" t="s">
        <v>199</v>
      </c>
      <c r="G100" s="3" t="s">
        <v>364</v>
      </c>
      <c r="H100" s="3" t="s">
        <v>200</v>
      </c>
      <c r="I100" s="4" t="s">
        <v>66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111</v>
      </c>
    </row>
    <row r="101" customFormat="false" ht="15" hidden="false" customHeight="true" outlineLevel="0" collapsed="false">
      <c r="A101" s="3" t="n">
        <v>100</v>
      </c>
      <c r="B101" s="3" t="s">
        <v>196</v>
      </c>
      <c r="C101" s="3" t="s">
        <v>370</v>
      </c>
      <c r="D101" s="3" t="s">
        <v>69</v>
      </c>
      <c r="E101" s="3" t="s">
        <v>371</v>
      </c>
      <c r="F101" s="3" t="s">
        <v>199</v>
      </c>
      <c r="G101" s="3" t="s">
        <v>364</v>
      </c>
      <c r="H101" s="3" t="s">
        <v>200</v>
      </c>
      <c r="I101" s="4" t="s">
        <v>76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372</v>
      </c>
    </row>
    <row r="102" customFormat="false" ht="15" hidden="false" customHeight="true" outlineLevel="0" collapsed="false">
      <c r="A102" s="3" t="n">
        <v>101</v>
      </c>
      <c r="B102" s="3" t="s">
        <v>196</v>
      </c>
      <c r="C102" s="3" t="s">
        <v>373</v>
      </c>
      <c r="D102" s="3" t="s">
        <v>109</v>
      </c>
      <c r="E102" s="3" t="s">
        <v>374</v>
      </c>
      <c r="F102" s="3" t="s">
        <v>199</v>
      </c>
      <c r="G102" s="3" t="s">
        <v>364</v>
      </c>
      <c r="H102" s="3" t="s">
        <v>200</v>
      </c>
      <c r="I102" s="4" t="s">
        <v>66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111</v>
      </c>
    </row>
    <row r="103" customFormat="false" ht="15" hidden="false" customHeight="true" outlineLevel="0" collapsed="false">
      <c r="A103" s="3" t="n">
        <v>102</v>
      </c>
      <c r="B103" s="3" t="s">
        <v>196</v>
      </c>
      <c r="C103" s="3" t="s">
        <v>375</v>
      </c>
      <c r="D103" s="3" t="s">
        <v>73</v>
      </c>
      <c r="E103" s="3" t="s">
        <v>376</v>
      </c>
      <c r="F103" s="3" t="s">
        <v>377</v>
      </c>
      <c r="G103" s="3" t="s">
        <v>364</v>
      </c>
      <c r="H103" s="3" t="s">
        <v>200</v>
      </c>
      <c r="I103" s="4" t="s">
        <v>76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378</v>
      </c>
    </row>
    <row r="104" customFormat="false" ht="15" hidden="false" customHeight="true" outlineLevel="0" collapsed="false">
      <c r="A104" s="3" t="n">
        <v>103</v>
      </c>
      <c r="B104" s="3" t="s">
        <v>196</v>
      </c>
      <c r="C104" s="3" t="s">
        <v>379</v>
      </c>
      <c r="D104" s="3" t="s">
        <v>61</v>
      </c>
      <c r="E104" s="3" t="s">
        <v>380</v>
      </c>
      <c r="F104" s="3" t="s">
        <v>199</v>
      </c>
      <c r="G104" s="3" t="s">
        <v>364</v>
      </c>
      <c r="H104" s="3" t="s">
        <v>200</v>
      </c>
      <c r="I104" s="4" t="s">
        <v>76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174</v>
      </c>
    </row>
    <row r="105" customFormat="false" ht="15" hidden="false" customHeight="true" outlineLevel="0" collapsed="false">
      <c r="A105" s="3" t="n">
        <v>104</v>
      </c>
      <c r="B105" s="3" t="s">
        <v>196</v>
      </c>
      <c r="C105" s="3" t="s">
        <v>381</v>
      </c>
      <c r="D105" s="3" t="s">
        <v>69</v>
      </c>
      <c r="E105" s="3" t="s">
        <v>382</v>
      </c>
      <c r="F105" s="3" t="s">
        <v>383</v>
      </c>
      <c r="G105" s="3" t="s">
        <v>364</v>
      </c>
      <c r="H105" s="3" t="s">
        <v>200</v>
      </c>
      <c r="I105" s="4" t="s">
        <v>66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111</v>
      </c>
    </row>
    <row r="106" customFormat="false" ht="15" hidden="false" customHeight="true" outlineLevel="0" collapsed="false">
      <c r="A106" s="3" t="n">
        <v>105</v>
      </c>
      <c r="B106" s="3" t="s">
        <v>196</v>
      </c>
      <c r="C106" s="3" t="s">
        <v>384</v>
      </c>
      <c r="D106" s="3" t="s">
        <v>69</v>
      </c>
      <c r="E106" s="3" t="s">
        <v>385</v>
      </c>
      <c r="F106" s="3" t="s">
        <v>383</v>
      </c>
      <c r="G106" s="3" t="s">
        <v>364</v>
      </c>
      <c r="H106" s="3" t="s">
        <v>200</v>
      </c>
      <c r="I106" s="4" t="s">
        <v>66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111</v>
      </c>
    </row>
    <row r="107" customFormat="false" ht="15" hidden="false" customHeight="true" outlineLevel="0" collapsed="false">
      <c r="A107" s="3" t="n">
        <v>106</v>
      </c>
      <c r="B107" s="3" t="s">
        <v>196</v>
      </c>
      <c r="C107" s="3" t="s">
        <v>386</v>
      </c>
      <c r="D107" s="3" t="s">
        <v>69</v>
      </c>
      <c r="E107" s="3" t="s">
        <v>387</v>
      </c>
      <c r="F107" s="3" t="s">
        <v>383</v>
      </c>
      <c r="G107" s="3" t="s">
        <v>364</v>
      </c>
      <c r="H107" s="3" t="s">
        <v>200</v>
      </c>
      <c r="I107" s="4" t="s">
        <v>66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111</v>
      </c>
    </row>
    <row r="108" customFormat="false" ht="15" hidden="false" customHeight="true" outlineLevel="0" collapsed="false">
      <c r="A108" s="3" t="n">
        <v>107</v>
      </c>
      <c r="B108" s="3" t="s">
        <v>196</v>
      </c>
      <c r="C108" s="3" t="s">
        <v>388</v>
      </c>
      <c r="D108" s="3" t="s">
        <v>69</v>
      </c>
      <c r="E108" s="3" t="s">
        <v>389</v>
      </c>
      <c r="F108" s="3" t="s">
        <v>383</v>
      </c>
      <c r="G108" s="3" t="s">
        <v>364</v>
      </c>
      <c r="H108" s="3" t="s">
        <v>200</v>
      </c>
      <c r="I108" s="4" t="s">
        <v>66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111</v>
      </c>
    </row>
    <row r="109" customFormat="false" ht="15" hidden="false" customHeight="true" outlineLevel="0" collapsed="false">
      <c r="A109" s="3" t="n">
        <v>108</v>
      </c>
      <c r="B109" s="3" t="s">
        <v>196</v>
      </c>
      <c r="C109" s="3" t="s">
        <v>390</v>
      </c>
      <c r="D109" s="3" t="s">
        <v>69</v>
      </c>
      <c r="E109" s="3" t="s">
        <v>391</v>
      </c>
      <c r="F109" s="3" t="s">
        <v>383</v>
      </c>
      <c r="G109" s="3" t="s">
        <v>364</v>
      </c>
      <c r="H109" s="3" t="s">
        <v>200</v>
      </c>
      <c r="I109" s="4" t="s">
        <v>66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111</v>
      </c>
    </row>
    <row r="110" customFormat="false" ht="15" hidden="false" customHeight="true" outlineLevel="0" collapsed="false">
      <c r="A110" s="3" t="n">
        <v>109</v>
      </c>
      <c r="B110" s="3" t="s">
        <v>196</v>
      </c>
      <c r="C110" s="3" t="s">
        <v>392</v>
      </c>
      <c r="D110" s="3" t="s">
        <v>69</v>
      </c>
      <c r="E110" s="3" t="s">
        <v>393</v>
      </c>
      <c r="F110" s="3" t="s">
        <v>383</v>
      </c>
      <c r="G110" s="3" t="s">
        <v>364</v>
      </c>
      <c r="H110" s="3" t="s">
        <v>200</v>
      </c>
      <c r="I110" s="4" t="s">
        <v>66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111</v>
      </c>
    </row>
    <row r="111" customFormat="false" ht="15" hidden="false" customHeight="true" outlineLevel="0" collapsed="false">
      <c r="A111" s="3" t="n">
        <v>110</v>
      </c>
      <c r="B111" s="3" t="s">
        <v>196</v>
      </c>
      <c r="C111" s="3" t="s">
        <v>394</v>
      </c>
      <c r="D111" s="3" t="s">
        <v>69</v>
      </c>
      <c r="E111" s="3" t="s">
        <v>395</v>
      </c>
      <c r="F111" s="3" t="s">
        <v>383</v>
      </c>
      <c r="G111" s="3" t="s">
        <v>364</v>
      </c>
      <c r="H111" s="3" t="s">
        <v>200</v>
      </c>
      <c r="I111" s="4" t="s">
        <v>66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111</v>
      </c>
    </row>
    <row r="112" customFormat="false" ht="15" hidden="false" customHeight="true" outlineLevel="0" collapsed="false">
      <c r="A112" s="3" t="n">
        <v>111</v>
      </c>
      <c r="B112" s="3" t="s">
        <v>196</v>
      </c>
      <c r="C112" s="3" t="s">
        <v>396</v>
      </c>
      <c r="D112" s="3" t="s">
        <v>155</v>
      </c>
      <c r="E112" s="3" t="s">
        <v>397</v>
      </c>
      <c r="F112" s="3" t="s">
        <v>398</v>
      </c>
      <c r="G112" s="3" t="s">
        <v>364</v>
      </c>
      <c r="H112" s="3" t="s">
        <v>399</v>
      </c>
      <c r="I112" s="4" t="s">
        <v>66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111</v>
      </c>
    </row>
    <row r="113" customFormat="false" ht="15" hidden="false" customHeight="true" outlineLevel="0" collapsed="false">
      <c r="A113" s="3" t="n">
        <v>112</v>
      </c>
      <c r="B113" s="3" t="s">
        <v>196</v>
      </c>
      <c r="C113" s="3" t="s">
        <v>400</v>
      </c>
      <c r="D113" s="3" t="s">
        <v>155</v>
      </c>
      <c r="E113" s="3" t="s">
        <v>401</v>
      </c>
      <c r="F113" s="3" t="s">
        <v>398</v>
      </c>
      <c r="G113" s="3" t="s">
        <v>364</v>
      </c>
      <c r="H113" s="3" t="s">
        <v>200</v>
      </c>
      <c r="I113" s="4" t="s">
        <v>66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111</v>
      </c>
    </row>
    <row r="114" customFormat="false" ht="15" hidden="false" customHeight="true" outlineLevel="0" collapsed="false">
      <c r="A114" s="3" t="n">
        <v>113</v>
      </c>
      <c r="B114" s="3" t="s">
        <v>226</v>
      </c>
      <c r="C114" s="3" t="s">
        <v>402</v>
      </c>
      <c r="D114" s="3" t="s">
        <v>73</v>
      </c>
      <c r="E114" s="3" t="s">
        <v>403</v>
      </c>
      <c r="F114" s="3" t="s">
        <v>234</v>
      </c>
      <c r="G114" s="3" t="s">
        <v>364</v>
      </c>
      <c r="H114" s="3" t="s">
        <v>200</v>
      </c>
      <c r="I114" s="4" t="s">
        <v>66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111</v>
      </c>
    </row>
    <row r="115" customFormat="false" ht="15" hidden="false" customHeight="true" outlineLevel="0" collapsed="false">
      <c r="A115" s="3" t="n">
        <v>114</v>
      </c>
      <c r="B115" s="3" t="s">
        <v>226</v>
      </c>
      <c r="C115" s="3" t="s">
        <v>404</v>
      </c>
      <c r="D115" s="3" t="s">
        <v>61</v>
      </c>
      <c r="E115" s="3" t="s">
        <v>405</v>
      </c>
      <c r="F115" s="3" t="s">
        <v>234</v>
      </c>
      <c r="G115" s="3" t="s">
        <v>364</v>
      </c>
      <c r="H115" s="3" t="s">
        <v>200</v>
      </c>
      <c r="I115" s="4" t="s">
        <v>66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111</v>
      </c>
    </row>
    <row r="116" customFormat="false" ht="15" hidden="false" customHeight="true" outlineLevel="0" collapsed="false">
      <c r="A116" s="3" t="n">
        <v>115</v>
      </c>
      <c r="B116" s="3" t="s">
        <v>226</v>
      </c>
      <c r="C116" s="3" t="s">
        <v>406</v>
      </c>
      <c r="D116" s="3" t="s">
        <v>99</v>
      </c>
      <c r="E116" s="3" t="s">
        <v>407</v>
      </c>
      <c r="F116" s="3" t="s">
        <v>234</v>
      </c>
      <c r="G116" s="3" t="s">
        <v>364</v>
      </c>
      <c r="H116" s="3" t="s">
        <v>200</v>
      </c>
      <c r="I116" s="4" t="s">
        <v>66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111</v>
      </c>
    </row>
    <row r="117" customFormat="false" ht="15" hidden="false" customHeight="true" outlineLevel="0" collapsed="false">
      <c r="A117" s="3" t="n">
        <v>116</v>
      </c>
      <c r="B117" s="3" t="s">
        <v>226</v>
      </c>
      <c r="C117" s="3" t="s">
        <v>408</v>
      </c>
      <c r="D117" s="3" t="s">
        <v>86</v>
      </c>
      <c r="E117" s="3" t="s">
        <v>409</v>
      </c>
      <c r="F117" s="3" t="s">
        <v>234</v>
      </c>
      <c r="G117" s="3" t="s">
        <v>364</v>
      </c>
      <c r="H117" s="3" t="s">
        <v>200</v>
      </c>
      <c r="I117" s="4" t="s">
        <v>66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111</v>
      </c>
    </row>
    <row r="118" customFormat="false" ht="15" hidden="false" customHeight="true" outlineLevel="0" collapsed="false">
      <c r="A118" s="3" t="n">
        <v>117</v>
      </c>
      <c r="B118" s="3" t="s">
        <v>226</v>
      </c>
      <c r="C118" s="3" t="s">
        <v>410</v>
      </c>
      <c r="D118" s="3" t="s">
        <v>79</v>
      </c>
      <c r="E118" s="3" t="s">
        <v>411</v>
      </c>
      <c r="F118" s="3" t="s">
        <v>234</v>
      </c>
      <c r="G118" s="3" t="s">
        <v>364</v>
      </c>
      <c r="H118" s="3" t="s">
        <v>200</v>
      </c>
      <c r="I118" s="4" t="s">
        <v>66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111</v>
      </c>
    </row>
    <row r="119" customFormat="false" ht="15" hidden="false" customHeight="true" outlineLevel="0" collapsed="false">
      <c r="A119" s="3" t="n">
        <v>118</v>
      </c>
      <c r="B119" s="3" t="s">
        <v>226</v>
      </c>
      <c r="C119" s="3" t="s">
        <v>412</v>
      </c>
      <c r="D119" s="3" t="s">
        <v>69</v>
      </c>
      <c r="E119" s="3" t="s">
        <v>413</v>
      </c>
      <c r="F119" s="3" t="s">
        <v>234</v>
      </c>
      <c r="G119" s="3" t="s">
        <v>364</v>
      </c>
      <c r="H119" s="3" t="s">
        <v>200</v>
      </c>
      <c r="I119" s="4" t="s">
        <v>66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111</v>
      </c>
    </row>
    <row r="120" customFormat="false" ht="15" hidden="false" customHeight="true" outlineLevel="0" collapsed="false">
      <c r="A120" s="3" t="n">
        <v>119</v>
      </c>
      <c r="B120" s="3" t="s">
        <v>226</v>
      </c>
      <c r="C120" s="3" t="s">
        <v>414</v>
      </c>
      <c r="D120" s="3" t="s">
        <v>99</v>
      </c>
      <c r="E120" s="3" t="s">
        <v>415</v>
      </c>
      <c r="F120" s="3" t="s">
        <v>234</v>
      </c>
      <c r="G120" s="3" t="s">
        <v>364</v>
      </c>
      <c r="H120" s="3" t="s">
        <v>200</v>
      </c>
      <c r="I120" s="4" t="s">
        <v>66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111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416</v>
      </c>
      <c r="D121" s="3" t="s">
        <v>99</v>
      </c>
      <c r="E121" s="3" t="s">
        <v>417</v>
      </c>
      <c r="F121" s="3" t="s">
        <v>418</v>
      </c>
      <c r="G121" s="3" t="s">
        <v>364</v>
      </c>
      <c r="H121" s="3" t="s">
        <v>200</v>
      </c>
      <c r="I121" s="4" t="s">
        <v>66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111</v>
      </c>
    </row>
    <row r="122" customFormat="false" ht="15" hidden="false" customHeight="true" outlineLevel="0" collapsed="false">
      <c r="A122" s="3" t="n">
        <v>121</v>
      </c>
      <c r="B122" s="3" t="s">
        <v>131</v>
      </c>
      <c r="C122" s="3" t="s">
        <v>419</v>
      </c>
      <c r="D122" s="3" t="s">
        <v>155</v>
      </c>
      <c r="E122" s="3" t="s">
        <v>420</v>
      </c>
      <c r="F122" s="3" t="s">
        <v>421</v>
      </c>
      <c r="G122" s="3" t="s">
        <v>364</v>
      </c>
      <c r="H122" s="3" t="s">
        <v>200</v>
      </c>
      <c r="I122" s="4" t="s">
        <v>66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111</v>
      </c>
    </row>
    <row r="123" customFormat="false" ht="15" hidden="false" customHeight="true" outlineLevel="0" collapsed="false">
      <c r="A123" s="3" t="n">
        <v>122</v>
      </c>
      <c r="B123" s="3" t="s">
        <v>92</v>
      </c>
      <c r="C123" s="3" t="s">
        <v>422</v>
      </c>
      <c r="D123" s="3" t="s">
        <v>155</v>
      </c>
      <c r="E123" s="3" t="s">
        <v>423</v>
      </c>
      <c r="F123" s="3" t="s">
        <v>424</v>
      </c>
      <c r="G123" s="3" t="s">
        <v>95</v>
      </c>
      <c r="H123" s="3" t="s">
        <v>96</v>
      </c>
      <c r="I123" s="4" t="s">
        <v>66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111</v>
      </c>
    </row>
    <row r="124" customFormat="false" ht="15" hidden="false" customHeight="true" outlineLevel="0" collapsed="false">
      <c r="A124" s="3" t="n">
        <v>123</v>
      </c>
      <c r="B124" s="3" t="s">
        <v>92</v>
      </c>
      <c r="C124" s="3" t="s">
        <v>425</v>
      </c>
      <c r="D124" s="3" t="s">
        <v>17</v>
      </c>
      <c r="E124" s="3" t="s">
        <v>426</v>
      </c>
      <c r="F124" s="3" t="s">
        <v>427</v>
      </c>
      <c r="G124" s="3" t="s">
        <v>95</v>
      </c>
      <c r="H124" s="3" t="s">
        <v>96</v>
      </c>
      <c r="I124" s="4" t="s">
        <v>76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174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428</v>
      </c>
      <c r="D125" s="3" t="s">
        <v>17</v>
      </c>
      <c r="E125" s="3" t="s">
        <v>429</v>
      </c>
      <c r="F125" s="3" t="s">
        <v>430</v>
      </c>
      <c r="G125" s="3" t="s">
        <v>431</v>
      </c>
      <c r="H125" s="3" t="s">
        <v>432</v>
      </c>
      <c r="I125" s="4" t="s">
        <v>66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111</v>
      </c>
    </row>
    <row r="126" customFormat="false" ht="15" hidden="false" customHeight="true" outlineLevel="0" collapsed="false">
      <c r="A126" s="3" t="n">
        <v>125</v>
      </c>
      <c r="B126" s="3" t="s">
        <v>196</v>
      </c>
      <c r="C126" s="3" t="s">
        <v>433</v>
      </c>
      <c r="D126" s="3" t="s">
        <v>61</v>
      </c>
      <c r="E126" s="3" t="s">
        <v>434</v>
      </c>
      <c r="F126" s="3" t="s">
        <v>435</v>
      </c>
      <c r="G126" s="3" t="s">
        <v>436</v>
      </c>
      <c r="H126" s="3" t="s">
        <v>437</v>
      </c>
      <c r="I126" s="4" t="s">
        <v>66</v>
      </c>
      <c r="J126" s="5" t="n">
        <v>46321</v>
      </c>
      <c r="K126" s="6" t="n">
        <f aca="false">IF(J126="","",WORKDAY(J126+4,1))</f>
        <v>46328</v>
      </c>
      <c r="L126" s="5"/>
      <c r="M126" s="4"/>
      <c r="N126" s="4"/>
      <c r="O126" s="4" t="s">
        <v>111</v>
      </c>
    </row>
    <row r="127" customFormat="false" ht="15" hidden="false" customHeight="true" outlineLevel="0" collapsed="false">
      <c r="A127" s="3" t="n">
        <v>126</v>
      </c>
      <c r="B127" s="3" t="s">
        <v>226</v>
      </c>
      <c r="C127" s="3" t="s">
        <v>438</v>
      </c>
      <c r="D127" s="3" t="s">
        <v>61</v>
      </c>
      <c r="E127" s="3" t="s">
        <v>439</v>
      </c>
      <c r="F127" s="3" t="s">
        <v>440</v>
      </c>
      <c r="G127" s="3" t="s">
        <v>436</v>
      </c>
      <c r="H127" s="3" t="s">
        <v>437</v>
      </c>
      <c r="I127" s="4" t="s">
        <v>27</v>
      </c>
      <c r="J127" s="5" t="n">
        <v>46321</v>
      </c>
      <c r="K127" s="6" t="n">
        <f aca="false">IF(J127="","",WORKDAY(J127+4,1))</f>
        <v>46328</v>
      </c>
      <c r="L127" s="5"/>
      <c r="M127" s="4" t="s">
        <v>28</v>
      </c>
      <c r="N127" s="4"/>
      <c r="O127" s="4" t="s">
        <v>441</v>
      </c>
    </row>
    <row r="128" customFormat="false" ht="15" hidden="false" customHeight="true" outlineLevel="0" collapsed="false">
      <c r="A128" s="3" t="n">
        <v>127</v>
      </c>
      <c r="B128" s="3" t="s">
        <v>196</v>
      </c>
      <c r="C128" s="3" t="s">
        <v>442</v>
      </c>
      <c r="D128" s="3" t="s">
        <v>61</v>
      </c>
      <c r="E128" s="3" t="s">
        <v>443</v>
      </c>
      <c r="F128" s="3" t="s">
        <v>444</v>
      </c>
      <c r="G128" s="3" t="s">
        <v>436</v>
      </c>
      <c r="H128" s="3" t="s">
        <v>445</v>
      </c>
      <c r="I128" s="4" t="s">
        <v>66</v>
      </c>
      <c r="J128" s="5" t="n">
        <v>46321</v>
      </c>
      <c r="K128" s="6" t="n">
        <f aca="false">IF(J128="","",WORKDAY(J128+4,1))</f>
        <v>46328</v>
      </c>
      <c r="L128" s="5"/>
      <c r="M128" s="4"/>
      <c r="N128" s="4"/>
      <c r="O128" s="4" t="s">
        <v>111</v>
      </c>
    </row>
    <row r="129" customFormat="false" ht="15" hidden="false" customHeight="true" outlineLevel="0" collapsed="false">
      <c r="A129" s="3" t="n">
        <v>128</v>
      </c>
      <c r="B129" s="3" t="s">
        <v>226</v>
      </c>
      <c r="C129" s="3" t="s">
        <v>446</v>
      </c>
      <c r="D129" s="3" t="s">
        <v>61</v>
      </c>
      <c r="E129" s="3" t="s">
        <v>447</v>
      </c>
      <c r="F129" s="3" t="s">
        <v>440</v>
      </c>
      <c r="G129" s="3" t="s">
        <v>436</v>
      </c>
      <c r="H129" s="3" t="s">
        <v>445</v>
      </c>
      <c r="I129" s="4" t="s">
        <v>76</v>
      </c>
      <c r="J129" s="5" t="n">
        <v>46321</v>
      </c>
      <c r="K129" s="6" t="n">
        <f aca="false">IF(J129="","",WORKDAY(J129+4,1))</f>
        <v>46328</v>
      </c>
      <c r="L129" s="5"/>
      <c r="M129" s="4"/>
      <c r="N129" s="4"/>
      <c r="O129" s="4" t="s">
        <v>174</v>
      </c>
    </row>
    <row r="130" customFormat="false" ht="15" hidden="false" customHeight="true" outlineLevel="0" collapsed="false">
      <c r="A130" s="3" t="n">
        <v>129</v>
      </c>
      <c r="B130" s="3" t="s">
        <v>196</v>
      </c>
      <c r="C130" s="3" t="s">
        <v>448</v>
      </c>
      <c r="D130" s="3" t="s">
        <v>128</v>
      </c>
      <c r="E130" s="3" t="s">
        <v>449</v>
      </c>
      <c r="F130" s="3" t="s">
        <v>199</v>
      </c>
      <c r="G130" s="3" t="s">
        <v>436</v>
      </c>
      <c r="H130" s="3" t="s">
        <v>450</v>
      </c>
      <c r="I130" s="4" t="s">
        <v>66</v>
      </c>
      <c r="J130" s="5" t="n">
        <v>46321</v>
      </c>
      <c r="K130" s="6" t="n">
        <f aca="false">IF(J130="","",WORKDAY(J130+4,1))</f>
        <v>46328</v>
      </c>
      <c r="L130" s="5"/>
      <c r="M130" s="4"/>
      <c r="N130" s="4"/>
      <c r="O130" s="4" t="s">
        <v>111</v>
      </c>
    </row>
    <row r="131" customFormat="false" ht="15" hidden="false" customHeight="true" outlineLevel="0" collapsed="false">
      <c r="A131" s="3" t="n">
        <v>130</v>
      </c>
      <c r="B131" s="3" t="s">
        <v>59</v>
      </c>
      <c r="C131" s="3" t="s">
        <v>451</v>
      </c>
      <c r="D131" s="3" t="s">
        <v>128</v>
      </c>
      <c r="E131" s="3" t="s">
        <v>452</v>
      </c>
      <c r="F131" s="3" t="s">
        <v>453</v>
      </c>
      <c r="G131" s="3" t="s">
        <v>436</v>
      </c>
      <c r="H131" s="3" t="s">
        <v>450</v>
      </c>
      <c r="I131" s="4" t="s">
        <v>66</v>
      </c>
      <c r="J131" s="5" t="n">
        <v>46321</v>
      </c>
      <c r="K131" s="6" t="n">
        <f aca="false">IF(J131="","",WORKDAY(J131+4,1))</f>
        <v>46328</v>
      </c>
      <c r="L131" s="5"/>
      <c r="M131" s="4"/>
      <c r="N131" s="4"/>
      <c r="O131" s="4" t="s">
        <v>111</v>
      </c>
    </row>
    <row r="132" customFormat="false" ht="15" hidden="false" customHeight="true" outlineLevel="0" collapsed="false">
      <c r="A132" s="3" t="n">
        <v>131</v>
      </c>
      <c r="B132" s="3" t="s">
        <v>196</v>
      </c>
      <c r="C132" s="3" t="s">
        <v>454</v>
      </c>
      <c r="D132" s="3" t="s">
        <v>73</v>
      </c>
      <c r="E132" s="3" t="s">
        <v>455</v>
      </c>
      <c r="F132" s="3" t="s">
        <v>435</v>
      </c>
      <c r="G132" s="3" t="s">
        <v>436</v>
      </c>
      <c r="H132" s="3" t="s">
        <v>456</v>
      </c>
      <c r="I132" s="4" t="s">
        <v>66</v>
      </c>
      <c r="J132" s="5" t="n">
        <v>46321</v>
      </c>
      <c r="K132" s="6" t="n">
        <f aca="false">IF(J132="","",WORKDAY(J132+4,1))</f>
        <v>46328</v>
      </c>
      <c r="L132" s="5"/>
      <c r="M132" s="4"/>
      <c r="N132" s="4"/>
      <c r="O132" s="4" t="s">
        <v>111</v>
      </c>
    </row>
    <row r="133" customFormat="false" ht="15" hidden="false" customHeight="true" outlineLevel="0" collapsed="false">
      <c r="A133" s="3" t="n">
        <v>132</v>
      </c>
      <c r="B133" s="3" t="s">
        <v>196</v>
      </c>
      <c r="C133" s="3" t="s">
        <v>457</v>
      </c>
      <c r="D133" s="3" t="s">
        <v>139</v>
      </c>
      <c r="E133" s="3" t="s">
        <v>458</v>
      </c>
      <c r="F133" s="3" t="s">
        <v>459</v>
      </c>
      <c r="G133" s="3" t="s">
        <v>436</v>
      </c>
      <c r="H133" s="3" t="s">
        <v>460</v>
      </c>
      <c r="I133" s="4" t="s">
        <v>66</v>
      </c>
      <c r="J133" s="5" t="n">
        <v>46321</v>
      </c>
      <c r="K133" s="6" t="n">
        <f aca="false">IF(J133="","",WORKDAY(J133+4,1))</f>
        <v>46328</v>
      </c>
      <c r="L133" s="5"/>
      <c r="M133" s="4"/>
      <c r="N133" s="4"/>
      <c r="O133" s="4" t="s">
        <v>111</v>
      </c>
    </row>
    <row r="134" customFormat="false" ht="15" hidden="false" customHeight="true" outlineLevel="0" collapsed="false">
      <c r="A134" s="3" t="n">
        <v>133</v>
      </c>
      <c r="B134" s="3" t="s">
        <v>196</v>
      </c>
      <c r="C134" s="3" t="s">
        <v>461</v>
      </c>
      <c r="D134" s="3" t="s">
        <v>73</v>
      </c>
      <c r="E134" s="3" t="s">
        <v>462</v>
      </c>
      <c r="F134" s="3" t="s">
        <v>435</v>
      </c>
      <c r="G134" s="3" t="s">
        <v>436</v>
      </c>
      <c r="H134" s="3" t="s">
        <v>463</v>
      </c>
      <c r="I134" s="4" t="s">
        <v>66</v>
      </c>
      <c r="J134" s="5" t="n">
        <v>46321</v>
      </c>
      <c r="K134" s="6" t="n">
        <f aca="false">IF(J134="","",WORKDAY(J134+4,1))</f>
        <v>46328</v>
      </c>
      <c r="L134" s="5"/>
      <c r="M134" s="4"/>
      <c r="N134" s="4"/>
      <c r="O134" s="4" t="s">
        <v>111</v>
      </c>
    </row>
    <row r="135" customFormat="false" ht="15" hidden="false" customHeight="true" outlineLevel="0" collapsed="false">
      <c r="A135" s="3" t="n">
        <v>134</v>
      </c>
      <c r="B135" s="3" t="s">
        <v>196</v>
      </c>
      <c r="C135" s="3" t="s">
        <v>464</v>
      </c>
      <c r="D135" s="3" t="s">
        <v>61</v>
      </c>
      <c r="E135" s="3" t="s">
        <v>465</v>
      </c>
      <c r="F135" s="3" t="s">
        <v>466</v>
      </c>
      <c r="G135" s="3" t="s">
        <v>436</v>
      </c>
      <c r="H135" s="3" t="s">
        <v>467</v>
      </c>
      <c r="I135" s="4" t="s">
        <v>468</v>
      </c>
      <c r="J135" s="5"/>
      <c r="K135" s="6" t="str">
        <f aca="false">IF(J135="","",WORKDAY(J135+4,1))</f>
        <v/>
      </c>
      <c r="L135" s="5"/>
      <c r="M135" s="4"/>
      <c r="N135" s="4"/>
      <c r="O135" s="4" t="s">
        <v>469</v>
      </c>
    </row>
    <row r="136" customFormat="false" ht="15" hidden="false" customHeight="true" outlineLevel="0" collapsed="false">
      <c r="A136" s="3" t="n">
        <v>135</v>
      </c>
      <c r="B136" s="3" t="s">
        <v>226</v>
      </c>
      <c r="C136" s="3" t="s">
        <v>470</v>
      </c>
      <c r="D136" s="3" t="s">
        <v>61</v>
      </c>
      <c r="E136" s="3" t="s">
        <v>471</v>
      </c>
      <c r="F136" s="3" t="s">
        <v>199</v>
      </c>
      <c r="G136" s="3" t="s">
        <v>436</v>
      </c>
      <c r="H136" s="3" t="s">
        <v>472</v>
      </c>
      <c r="I136" s="4" t="s">
        <v>468</v>
      </c>
      <c r="J136" s="5"/>
      <c r="K136" s="6" t="str">
        <f aca="false">IF(J136="","",WORKDAY(J136+4,1))</f>
        <v/>
      </c>
      <c r="L136" s="5"/>
      <c r="M136" s="4"/>
      <c r="N136" s="4"/>
      <c r="O136" s="4" t="s">
        <v>469</v>
      </c>
    </row>
    <row r="137" customFormat="false" ht="15" hidden="false" customHeight="true" outlineLevel="0" collapsed="false">
      <c r="A137" s="3" t="n">
        <v>136</v>
      </c>
      <c r="B137" s="3" t="s">
        <v>196</v>
      </c>
      <c r="C137" s="3" t="s">
        <v>473</v>
      </c>
      <c r="D137" s="3" t="s">
        <v>61</v>
      </c>
      <c r="E137" s="3" t="s">
        <v>474</v>
      </c>
      <c r="F137" s="3" t="s">
        <v>440</v>
      </c>
      <c r="G137" s="3" t="s">
        <v>436</v>
      </c>
      <c r="H137" s="3" t="s">
        <v>475</v>
      </c>
      <c r="I137" s="4" t="s">
        <v>468</v>
      </c>
      <c r="J137" s="5"/>
      <c r="K137" s="6" t="str">
        <f aca="false">IF(J137="","",WORKDAY(J137+4,1))</f>
        <v/>
      </c>
      <c r="L137" s="5"/>
      <c r="M137" s="4"/>
      <c r="N137" s="4"/>
      <c r="O137" s="4" t="s">
        <v>469</v>
      </c>
    </row>
    <row r="138" customFormat="false" ht="15" hidden="false" customHeight="true" outlineLevel="0" collapsed="false">
      <c r="A138" s="3" t="n">
        <v>137</v>
      </c>
      <c r="B138" s="3" t="s">
        <v>196</v>
      </c>
      <c r="C138" s="3" t="s">
        <v>476</v>
      </c>
      <c r="D138" s="3" t="s">
        <v>61</v>
      </c>
      <c r="E138" s="3" t="s">
        <v>477</v>
      </c>
      <c r="F138" s="3" t="s">
        <v>478</v>
      </c>
      <c r="G138" s="3" t="s">
        <v>436</v>
      </c>
      <c r="H138" s="3" t="s">
        <v>475</v>
      </c>
      <c r="I138" s="4" t="s">
        <v>468</v>
      </c>
      <c r="J138" s="5"/>
      <c r="K138" s="6" t="str">
        <f aca="false">IF(J138="","",WORKDAY(J138+4,1))</f>
        <v/>
      </c>
      <c r="L138" s="5"/>
      <c r="M138" s="4"/>
      <c r="N138" s="4"/>
      <c r="O138" s="4" t="s">
        <v>469</v>
      </c>
    </row>
    <row r="139" customFormat="false" ht="15" hidden="false" customHeight="true" outlineLevel="0" collapsed="false">
      <c r="A139" s="3" t="n">
        <v>138</v>
      </c>
      <c r="B139" s="3" t="s">
        <v>196</v>
      </c>
      <c r="C139" s="3" t="s">
        <v>479</v>
      </c>
      <c r="D139" s="3" t="s">
        <v>155</v>
      </c>
      <c r="E139" s="3" t="s">
        <v>480</v>
      </c>
      <c r="F139" s="3" t="s">
        <v>444</v>
      </c>
      <c r="G139" s="3" t="s">
        <v>436</v>
      </c>
      <c r="H139" s="3" t="s">
        <v>481</v>
      </c>
      <c r="I139" s="4" t="s">
        <v>468</v>
      </c>
      <c r="J139" s="5"/>
      <c r="K139" s="6" t="str">
        <f aca="false">IF(J139="","",WORKDAY(J139+4,1))</f>
        <v/>
      </c>
      <c r="L139" s="5"/>
      <c r="M139" s="4"/>
      <c r="N139" s="4"/>
      <c r="O139" s="4" t="s">
        <v>469</v>
      </c>
    </row>
    <row r="140" customFormat="false" ht="15" hidden="false" customHeight="true" outlineLevel="0" collapsed="false">
      <c r="A140" s="3" t="n">
        <v>139</v>
      </c>
      <c r="B140" s="3" t="s">
        <v>196</v>
      </c>
      <c r="C140" s="3" t="s">
        <v>482</v>
      </c>
      <c r="D140" s="3" t="s">
        <v>73</v>
      </c>
      <c r="E140" s="3" t="s">
        <v>483</v>
      </c>
      <c r="F140" s="3" t="s">
        <v>199</v>
      </c>
      <c r="G140" s="3" t="s">
        <v>436</v>
      </c>
      <c r="H140" s="3" t="s">
        <v>484</v>
      </c>
      <c r="I140" s="4" t="s">
        <v>468</v>
      </c>
      <c r="J140" s="5"/>
      <c r="K140" s="6" t="str">
        <f aca="false">IF(J140="","",WORKDAY(J140+4,1))</f>
        <v/>
      </c>
      <c r="L140" s="5"/>
      <c r="M140" s="4"/>
      <c r="N140" s="4"/>
      <c r="O140" s="4" t="s">
        <v>469</v>
      </c>
    </row>
    <row r="141" customFormat="false" ht="15" hidden="false" customHeight="true" outlineLevel="0" collapsed="false">
      <c r="A141" s="3" t="n">
        <v>140</v>
      </c>
      <c r="B141" s="3" t="s">
        <v>196</v>
      </c>
      <c r="C141" s="3" t="s">
        <v>485</v>
      </c>
      <c r="D141" s="3" t="s">
        <v>73</v>
      </c>
      <c r="E141" s="3" t="s">
        <v>486</v>
      </c>
      <c r="F141" s="3" t="s">
        <v>199</v>
      </c>
      <c r="G141" s="3" t="s">
        <v>436</v>
      </c>
      <c r="H141" s="3" t="s">
        <v>484</v>
      </c>
      <c r="I141" s="4" t="s">
        <v>468</v>
      </c>
      <c r="J141" s="5"/>
      <c r="K141" s="6" t="str">
        <f aca="false">IF(J141="","",WORKDAY(J141+4,1))</f>
        <v/>
      </c>
      <c r="L141" s="5"/>
      <c r="M141" s="4"/>
      <c r="N141" s="4"/>
      <c r="O141" s="4" t="s">
        <v>469</v>
      </c>
    </row>
    <row r="142" customFormat="false" ht="15" hidden="false" customHeight="true" outlineLevel="0" collapsed="false">
      <c r="A142" s="3" t="n">
        <v>141</v>
      </c>
      <c r="B142" s="3" t="s">
        <v>196</v>
      </c>
      <c r="C142" s="3" t="s">
        <v>487</v>
      </c>
      <c r="D142" s="3" t="s">
        <v>155</v>
      </c>
      <c r="E142" s="3" t="s">
        <v>488</v>
      </c>
      <c r="F142" s="3" t="s">
        <v>435</v>
      </c>
      <c r="G142" s="3" t="s">
        <v>436</v>
      </c>
      <c r="H142" s="3" t="s">
        <v>489</v>
      </c>
      <c r="I142" s="4" t="s">
        <v>468</v>
      </c>
      <c r="J142" s="5"/>
      <c r="K142" s="6" t="str">
        <f aca="false">IF(J142="","",WORKDAY(J142+4,1))</f>
        <v/>
      </c>
      <c r="L142" s="5"/>
      <c r="M142" s="4"/>
      <c r="N142" s="4"/>
      <c r="O142" s="4" t="s">
        <v>469</v>
      </c>
    </row>
    <row r="143" customFormat="false" ht="15" hidden="false" customHeight="true" outlineLevel="0" collapsed="false">
      <c r="A143" s="3" t="n">
        <v>142</v>
      </c>
      <c r="B143" s="3" t="s">
        <v>196</v>
      </c>
      <c r="C143" s="3" t="s">
        <v>490</v>
      </c>
      <c r="D143" s="3" t="s">
        <v>89</v>
      </c>
      <c r="E143" s="3" t="s">
        <v>491</v>
      </c>
      <c r="F143" s="3" t="s">
        <v>435</v>
      </c>
      <c r="G143" s="3" t="s">
        <v>436</v>
      </c>
      <c r="H143" s="3" t="s">
        <v>492</v>
      </c>
      <c r="I143" s="4" t="s">
        <v>468</v>
      </c>
      <c r="J143" s="5"/>
      <c r="K143" s="6" t="str">
        <f aca="false">IF(J143="","",WORKDAY(J143+4,1))</f>
        <v/>
      </c>
      <c r="L143" s="5"/>
      <c r="M143" s="4"/>
      <c r="N143" s="4"/>
      <c r="O143" s="4" t="s">
        <v>469</v>
      </c>
    </row>
    <row r="144" customFormat="false" ht="15" hidden="false" customHeight="true" outlineLevel="0" collapsed="false">
      <c r="A144" s="3" t="n">
        <v>143</v>
      </c>
      <c r="B144" s="3" t="s">
        <v>196</v>
      </c>
      <c r="C144" s="3" t="s">
        <v>493</v>
      </c>
      <c r="D144" s="3" t="s">
        <v>99</v>
      </c>
      <c r="E144" s="3" t="s">
        <v>494</v>
      </c>
      <c r="F144" s="3" t="s">
        <v>199</v>
      </c>
      <c r="G144" s="3" t="s">
        <v>436</v>
      </c>
      <c r="H144" s="3" t="s">
        <v>495</v>
      </c>
      <c r="I144" s="4" t="s">
        <v>468</v>
      </c>
      <c r="J144" s="5"/>
      <c r="K144" s="6" t="str">
        <f aca="false">IF(J144="","",WORKDAY(J144+4,1))</f>
        <v/>
      </c>
      <c r="L144" s="5"/>
      <c r="M144" s="4"/>
      <c r="N144" s="4"/>
      <c r="O144" s="4" t="s">
        <v>469</v>
      </c>
    </row>
    <row r="145" customFormat="false" ht="15" hidden="false" customHeight="true" outlineLevel="0" collapsed="false">
      <c r="A145" s="3" t="n">
        <v>144</v>
      </c>
      <c r="B145" s="3" t="s">
        <v>196</v>
      </c>
      <c r="C145" s="3" t="s">
        <v>496</v>
      </c>
      <c r="D145" s="3" t="s">
        <v>113</v>
      </c>
      <c r="E145" s="3" t="s">
        <v>497</v>
      </c>
      <c r="F145" s="3" t="s">
        <v>498</v>
      </c>
      <c r="G145" s="3" t="s">
        <v>436</v>
      </c>
      <c r="H145" s="3" t="s">
        <v>499</v>
      </c>
      <c r="I145" s="4" t="s">
        <v>468</v>
      </c>
      <c r="J145" s="5"/>
      <c r="K145" s="6" t="str">
        <f aca="false">IF(J145="","",WORKDAY(J145+4,1))</f>
        <v/>
      </c>
      <c r="L145" s="5"/>
      <c r="M145" s="4"/>
      <c r="N145" s="4"/>
      <c r="O145" s="4" t="s">
        <v>469</v>
      </c>
    </row>
    <row r="146" customFormat="false" ht="15" hidden="false" customHeight="true" outlineLevel="0" collapsed="false">
      <c r="A146" s="3" t="n">
        <v>145</v>
      </c>
      <c r="B146" s="3" t="s">
        <v>196</v>
      </c>
      <c r="C146" s="3" t="s">
        <v>500</v>
      </c>
      <c r="D146" s="3" t="s">
        <v>501</v>
      </c>
      <c r="E146" s="3" t="s">
        <v>502</v>
      </c>
      <c r="F146" s="3" t="s">
        <v>503</v>
      </c>
      <c r="G146" s="3" t="s">
        <v>436</v>
      </c>
      <c r="H146" s="3" t="s">
        <v>504</v>
      </c>
      <c r="I146" s="4" t="s">
        <v>468</v>
      </c>
      <c r="J146" s="5"/>
      <c r="K146" s="6" t="str">
        <f aca="false">IF(J146="","",WORKDAY(J146+4,1))</f>
        <v/>
      </c>
      <c r="L146" s="5"/>
      <c r="M146" s="4"/>
      <c r="N146" s="4"/>
      <c r="O146" s="4" t="s">
        <v>469</v>
      </c>
    </row>
    <row r="147" customFormat="false" ht="15" hidden="false" customHeight="true" outlineLevel="0" collapsed="false">
      <c r="A147" s="3" t="n">
        <v>146</v>
      </c>
      <c r="B147" s="3" t="s">
        <v>196</v>
      </c>
      <c r="C147" s="3" t="s">
        <v>505</v>
      </c>
      <c r="D147" s="3" t="s">
        <v>89</v>
      </c>
      <c r="E147" s="3" t="s">
        <v>506</v>
      </c>
      <c r="F147" s="3" t="s">
        <v>444</v>
      </c>
      <c r="G147" s="3" t="s">
        <v>436</v>
      </c>
      <c r="H147" s="3" t="s">
        <v>507</v>
      </c>
      <c r="I147" s="4" t="s">
        <v>468</v>
      </c>
      <c r="J147" s="5"/>
      <c r="K147" s="6" t="str">
        <f aca="false">IF(J147="","",WORKDAY(J147+4,1))</f>
        <v/>
      </c>
      <c r="L147" s="5"/>
      <c r="M147" s="4"/>
      <c r="N147" s="4"/>
      <c r="O147" s="4" t="s">
        <v>469</v>
      </c>
    </row>
    <row r="148" customFormat="false" ht="15" hidden="false" customHeight="true" outlineLevel="0" collapsed="false">
      <c r="A148" s="3" t="n">
        <v>147</v>
      </c>
      <c r="B148" s="3" t="s">
        <v>196</v>
      </c>
      <c r="C148" s="3" t="s">
        <v>508</v>
      </c>
      <c r="D148" s="3" t="s">
        <v>99</v>
      </c>
      <c r="E148" s="3" t="s">
        <v>509</v>
      </c>
      <c r="F148" s="3" t="s">
        <v>199</v>
      </c>
      <c r="G148" s="3" t="s">
        <v>436</v>
      </c>
      <c r="H148" s="3" t="s">
        <v>510</v>
      </c>
      <c r="I148" s="4" t="s">
        <v>468</v>
      </c>
      <c r="J148" s="5"/>
      <c r="K148" s="6" t="str">
        <f aca="false">IF(J148="","",WORKDAY(J148+4,1))</f>
        <v/>
      </c>
      <c r="L148" s="5"/>
      <c r="M148" s="4"/>
      <c r="N148" s="4"/>
      <c r="O148" s="4" t="s">
        <v>469</v>
      </c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511</v>
      </c>
    </row>
    <row r="3" customFormat="false" ht="15" hidden="false" customHeight="true" outlineLevel="0" collapsed="false">
      <c r="A3" s="8" t="s">
        <v>512</v>
      </c>
      <c r="B3" s="9" t="n">
        <f aca="false">COUNTIF(Suivi!$E$2:$E$200,"*@*")</f>
        <v>146</v>
      </c>
    </row>
    <row r="4" customFormat="false" ht="15" hidden="false" customHeight="true" outlineLevel="0" collapsed="false">
      <c r="A4" s="8" t="s">
        <v>513</v>
      </c>
      <c r="B4" s="9" t="n">
        <f aca="false">COUNTIF(Suivi!$I$2:$I$200,"Brouillon prêt")</f>
        <v>14</v>
      </c>
    </row>
    <row r="5" customFormat="false" ht="15" hidden="false" customHeight="true" outlineLevel="0" collapsed="false">
      <c r="A5" s="8" t="s">
        <v>514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116</v>
      </c>
    </row>
    <row r="6" customFormat="false" ht="15" hidden="false" customHeight="true" outlineLevel="0" collapsed="false">
      <c r="A6" s="8" t="s">
        <v>515</v>
      </c>
      <c r="B6" s="9" t="n">
        <f aca="false">COUNTIF(Suivi!$I$2:$I$200,"Relancé")</f>
        <v>32</v>
      </c>
    </row>
    <row r="7" customFormat="false" ht="15" hidden="false" customHeight="true" outlineLevel="0" collapsed="false">
      <c r="A7" s="8" t="s">
        <v>516</v>
      </c>
      <c r="B7" s="9" t="n">
        <f aca="false">COUNTIF(Suivi!$M$2:$M$200,"Oui")</f>
        <v>3</v>
      </c>
    </row>
    <row r="8" customFormat="false" ht="15" hidden="false" customHeight="true" outlineLevel="0" collapsed="false">
      <c r="A8" s="8" t="s">
        <v>517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178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518</v>
      </c>
      <c r="B10" s="9" t="n">
        <f aca="false">COUNTIF(Suivi!$I$2:$I$200,"Adresse invalide")</f>
        <v>17</v>
      </c>
    </row>
    <row r="11" customFormat="false" ht="15" hidden="false" customHeight="true" outlineLevel="0" collapsed="false">
      <c r="A11" s="8" t="s">
        <v>519</v>
      </c>
      <c r="B11" s="10" t="n">
        <f aca="false">IFERROR(B7/B5,0)</f>
        <v>0.0258620689655172</v>
      </c>
    </row>
    <row r="12" customFormat="false" ht="15" hidden="false" customHeight="true" outlineLevel="0" collapsed="false">
      <c r="A12" s="8" t="s">
        <v>520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521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522</v>
      </c>
    </row>
    <row r="17" customFormat="false" ht="15" hidden="false" customHeight="true" outlineLevel="0" collapsed="false">
      <c r="A17" s="9" t="s">
        <v>523</v>
      </c>
    </row>
    <row r="18" customFormat="false" ht="15" hidden="false" customHeight="true" outlineLevel="0" collapsed="false">
      <c r="A18" s="9" t="s">
        <v>1</v>
      </c>
      <c r="B18" s="9" t="s">
        <v>524</v>
      </c>
      <c r="C18" s="9" t="s">
        <v>525</v>
      </c>
      <c r="D18" s="9" t="s">
        <v>526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20</v>
      </c>
      <c r="C22" s="8" t="n">
        <f aca="false">COUNTIFS(Suivi!$B$2:$B$200,A22,Suivi!$J$2:$J$200,"&lt;&gt;")</f>
        <v>20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92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131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196</v>
      </c>
      <c r="B25" s="8" t="n">
        <f aca="false">COUNTIF(Suivi!$B$2:$B$200,A25)</f>
        <v>45</v>
      </c>
      <c r="C25" s="8" t="n">
        <f aca="false">COUNTIFS(Suivi!$B$2:$B$200,A25,Suivi!$J$2:$J$200,"&lt;&gt;")</f>
        <v>32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226</v>
      </c>
      <c r="B26" s="8" t="n">
        <f aca="false">COUNTIF(Suivi!$B$2:$B$200,A26)</f>
        <v>18</v>
      </c>
      <c r="C26" s="8" t="n">
        <f aca="false">COUNTIFS(Suivi!$B$2:$B$200,A26,Suivi!$J$2:$J$200,"&lt;&gt;")</f>
        <v>17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248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319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527</v>
      </c>
      <c r="B29" s="8" t="n">
        <f aca="false">SUM(B19:B28)</f>
        <v>147</v>
      </c>
      <c r="C29" s="8" t="n">
        <f aca="false">SUM(C19:C28)</f>
        <v>132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528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529</v>
      </c>
    </row>
    <row r="4" customFormat="false" ht="15" hidden="false" customHeight="true" outlineLevel="0" collapsed="false">
      <c r="A4" s="13" t="s">
        <v>530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531</v>
      </c>
    </row>
    <row r="7" customFormat="false" ht="15" hidden="false" customHeight="true" outlineLevel="0" collapsed="false">
      <c r="A7" s="13" t="s">
        <v>532</v>
      </c>
    </row>
    <row r="8" customFormat="false" ht="15" hidden="false" customHeight="true" outlineLevel="0" collapsed="false">
      <c r="A8" s="13" t="s">
        <v>533</v>
      </c>
    </row>
    <row r="9" customFormat="false" ht="15" hidden="false" customHeight="true" outlineLevel="0" collapsed="false">
      <c r="A9" s="13" t="s">
        <v>534</v>
      </c>
    </row>
    <row r="10" customFormat="false" ht="15" hidden="false" customHeight="true" outlineLevel="0" collapsed="false">
      <c r="A10" s="13" t="s">
        <v>535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536</v>
      </c>
    </row>
    <row r="13" customFormat="false" ht="15" hidden="false" customHeight="true" outlineLevel="0" collapsed="false">
      <c r="A13" s="13" t="s">
        <v>537</v>
      </c>
    </row>
    <row r="14" customFormat="false" ht="15" hidden="false" customHeight="true" outlineLevel="0" collapsed="false">
      <c r="A14" s="13" t="s">
        <v>538</v>
      </c>
    </row>
    <row r="15" customFormat="false" ht="15" hidden="false" customHeight="true" outlineLevel="0" collapsed="false">
      <c r="A15" s="13" t="s">
        <v>539</v>
      </c>
    </row>
    <row r="16" customFormat="false" ht="15" hidden="false" customHeight="true" outlineLevel="0" collapsed="false">
      <c r="A16" s="1" t="s">
        <v>540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2026-10-26T10:49:37Z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