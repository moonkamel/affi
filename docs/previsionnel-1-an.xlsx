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Prévisionn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<sst xmlns="http://schemas.openxmlformats.org/spreadsheetml/2006/main" count="97" uniqueCount="89">
  <si>
    <t xml:space="preserve">Logimalin : prévisionnel sur un an (nov. 2026 à oct. 2027)</t>
  </si>
  <si>
    <t xml:space="preserve">Estimation, pas une promesse : le site a une semaine d’historique Search Console. À recaler chaque mois avec les vrais chiffres.</t>
  </si>
  <si>
    <t xml:space="preserve">Indicateur</t>
  </si>
  <si>
    <t xml:space="preserve">Pessimiste</t>
  </si>
  <si>
    <t xml:space="preserve">Réaliste</t>
  </si>
  <si>
    <t xml:space="preserve">Optimiste</t>
  </si>
  <si>
    <t xml:space="preserve">Visites sur 12 mois</t>
  </si>
  <si>
    <t xml:space="preserve">Visites en octobre 2027 (mois 12)</t>
  </si>
  <si>
    <t xml:space="preserve">Visites par jour en octobre 2027</t>
  </si>
  <si>
    <t xml:space="preserve">Clics vers les logiciels sur 12 mois</t>
  </si>
  <si>
    <t xml:space="preserve">Conversions rémunérées sur 12 mois</t>
  </si>
  <si>
    <t xml:space="preserve">Commissions sur 12 mois</t>
  </si>
  <si>
    <t xml:space="preserve">Commissions en octobre 2027 (mois 12)</t>
  </si>
  <si>
    <t xml:space="preserve">Revenu annuel au rythme du mois 12</t>
  </si>
  <si>
    <t xml:space="preserve">Leviers qui font passer d’un scénario à l’autre</t>
  </si>
  <si>
    <t xml:space="preserve">1. Faire accepter les programmes des pages les plus citées : Abby (37 pages), Tiime (16), HubSpot (6). C’est la ligne « part des clics rémunérés ».</t>
  </si>
  <si>
    <t xml:space="preserve">2. Obtenir des liens (CCI, BGE, médias) : c’est ce qui fait sortir un site neuf de la page 5-8 où il est aujourd’hui (position moyenne 78).</t>
  </si>
  <si>
    <t xml:space="preserve">3. Profiter de la vague facture électronique (septembre 2027) : la page plateforme agréée est déjà la plus vue (109 impressions en 4 jours).</t>
  </si>
  <si>
    <t xml:space="preserve">4. Newsletter : chaque inscrit est un lecteur qu’on peut faire revenir sans Google.</t>
  </si>
  <si>
    <t xml:space="preserve">Prévisionnel Logimalin : hypothèses (cellules bleues modifiables)</t>
  </si>
  <si>
    <t xml:space="preserve">Hypothèse</t>
  </si>
  <si>
    <t xml:space="preserve">Unité</t>
  </si>
  <si>
    <t xml:space="preserve">Source / justification</t>
  </si>
  <si>
    <t xml:space="preserve">Volume mensuel des requêtes ciblées (hors marques)</t>
  </si>
  <si>
    <t xml:space="preserve">recherches/mois</t>
  </si>
  <si>
    <t xml:space="preserve">Somme des volumes des clusters ciblés, vagues 1 à 10 (docs/STRATEGIE-SEO.md, OpenSEO, Google France). Pages des vagues 4 à 6 non comptées.</t>
  </si>
  <si>
    <t xml:space="preserve">Volume des requêtes de marque (Chorus Pro, Calendly, Henrri…)</t>
  </si>
  <si>
    <t xml:space="preserve">Requêtes de navigation : l’internaute cherche le site officiel, très peu cliquent sur un avis.</t>
  </si>
  <si>
    <t xml:space="preserve">Taux de clic moyen à maturité (requêtes ciblées)</t>
  </si>
  <si>
    <t xml:space="preserve">%</t>
  </si>
  <si>
    <t xml:space="preserve">Part des recherches qui arrivent sur le site au 12e mois. 1,5 % ≈ moitié des pages en 1re page sur leurs requêtes faciles (difficulté &lt; 15).</t>
  </si>
  <si>
    <t xml:space="preserve">Taux de clic moyen à maturité (requêtes de marque)</t>
  </si>
  <si>
    <t xml:space="preserve">Les pages avis/alternatives captent une petite fraction des recherches de marque.</t>
  </si>
  <si>
    <t xml:space="preserve">Trafic hors Google (LinkedIn, liens, direct, newsletter)</t>
  </si>
  <si>
    <t xml:space="preserve">% du trafic Google</t>
  </si>
  <si>
    <t xml:space="preserve">Démarchage CCI/BGE, page LinkedIn, newsletter.</t>
  </si>
  <si>
    <t xml:space="preserve">Taux de clic vers un lien affilié</t>
  </si>
  <si>
    <t xml:space="preserve">% des visites</t>
  </si>
  <si>
    <t xml:space="preserve">Repère des sites de comparatifs : 5 à 12 %. Les pages « Créer » (informatives) cliquent moins.</t>
  </si>
  <si>
    <t xml:space="preserve">Part des clics vers un programme rémunéré, nov. 2026</t>
  </si>
  <si>
    <t xml:space="preserve">Aujourd’hui : 5 programmes branchés sur environ 260 liens-pages (Abby, Tiime, HubSpot non rémunérés).</t>
  </si>
  <si>
    <t xml:space="preserve">Part des clics vers un programme rémunéré, oct. 2027</t>
  </si>
  <si>
    <t xml:space="preserve">Dépend des acceptations : HubSpot, Tiime, Abby (recandidature), Pipedrive, Legalstart, SeDomicilier.</t>
  </si>
  <si>
    <t xml:space="preserve">Taux de conversion clic → commission</t>
  </si>
  <si>
    <t xml:space="preserve">Inscription à un essai, lead ou abonnement selon le programme.</t>
  </si>
  <si>
    <t xml:space="preserve">Commission moyenne par conversion</t>
  </si>
  <si>
    <t xml:space="preserve">€</t>
  </si>
  <si>
    <t xml:space="preserve">Mix : Indy (lead, jusqu’à 345 €), Axonaut (≈ 300 €/client), Systeme.io (40 % récurrent), SumUp (prime par vente), leads plus modestes.</t>
  </si>
  <si>
    <t xml:space="preserve">Point de départ (Search Console, 13 au 16/10/2026)</t>
  </si>
  <si>
    <t xml:space="preserve">Clics Google</t>
  </si>
  <si>
    <t xml:space="preserve">4</t>
  </si>
  <si>
    <t xml:space="preserve">Impressions</t>
  </si>
  <si>
    <t xml:space="preserve">792</t>
  </si>
  <si>
    <t xml:space="preserve">Position moyenne</t>
  </si>
  <si>
    <t xml:space="preserve">78</t>
  </si>
  <si>
    <t xml:space="preserve">Pages indexées avec impressions (28 j)</t>
  </si>
  <si>
    <t xml:space="preserve">69</t>
  </si>
  <si>
    <t xml:space="preserve">Pages publiées</t>
  </si>
  <si>
    <t xml:space="preserve">133</t>
  </si>
  <si>
    <t xml:space="preserve">Lecture : le site a une semaine d’indexation. Un site neuf met en général 4 à 8 mois à remonter sur ses requêtes ; la courbe de montée en puissance (onglet Prévisionnel) le reflète.</t>
  </si>
  <si>
    <t xml:space="preserve">Prévisionnel mensuel, novembre 2026 à octobre 2027</t>
  </si>
  <si>
    <t xml:space="preserve">Mois</t>
  </si>
  <si>
    <t xml:space="preserve">Montée en puissance (% de la maturité)</t>
  </si>
  <si>
    <t xml:space="preserve">Pessimiste : visites</t>
  </si>
  <si>
    <t xml:space="preserve">Pessimiste : clics affiliés</t>
  </si>
  <si>
    <t xml:space="preserve">Pessimiste : conversions</t>
  </si>
  <si>
    <t xml:space="preserve">Pessimiste : commissions (€)</t>
  </si>
  <si>
    <t xml:space="preserve">Réaliste : visites</t>
  </si>
  <si>
    <t xml:space="preserve">Réaliste : clics affiliés</t>
  </si>
  <si>
    <t xml:space="preserve">Réaliste : conversions</t>
  </si>
  <si>
    <t xml:space="preserve">Réaliste : commissions (€)</t>
  </si>
  <si>
    <t xml:space="preserve">Optimiste : visites</t>
  </si>
  <si>
    <t xml:space="preserve">Optimiste : clics affiliés</t>
  </si>
  <si>
    <t xml:space="preserve">Optimiste : conversions</t>
  </si>
  <si>
    <t xml:space="preserve">Optimiste : commissions (€)</t>
  </si>
  <si>
    <t xml:space="preserve">nov. 2026</t>
  </si>
  <si>
    <t xml:space="preserve">déc. 2026</t>
  </si>
  <si>
    <t xml:space="preserve">janv. 2027</t>
  </si>
  <si>
    <t xml:space="preserve">févr. 2027</t>
  </si>
  <si>
    <t xml:space="preserve">mars 2027</t>
  </si>
  <si>
    <t xml:space="preserve">avr. 2027</t>
  </si>
  <si>
    <t xml:space="preserve">mai 2027</t>
  </si>
  <si>
    <t xml:space="preserve">juin 2027</t>
  </si>
  <si>
    <t xml:space="preserve">juil. 2027</t>
  </si>
  <si>
    <t xml:space="preserve">août 2027</t>
  </si>
  <si>
    <t xml:space="preserve">sept. 2027</t>
  </si>
  <si>
    <t xml:space="preserve">oct. 2027</t>
  </si>
  <si>
    <t xml:space="preserve">Total 12 mois</t>
  </si>
  <si>
    <t xml:space="preserve">Courbe de montée en puissance : hypothèse d’un site neuf (sortie de la « sandbox » Google vers le 4e-6e mois), avec un pic de demande attendu avant l’obligation d’émettre des factures électroniques le 1er septembre 2027 pour les TPE.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</si>
</sst>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&quot; €&quot;"/>
    <numFmt numFmtId="167" formatCode="0.0%"/>
    <numFmt numFmtId="168" formatCode="0%"/>
    <numFmt numFmtId="169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  <fill>
      <patternFill patternType="solid">
        <fgColor rgb="FFFFF7CC"/>
        <bgColor rgb="FFF3F4F6"/>
      </patternFill>
    </fill>
    <fill>
      <patternFill patternType="solid">
        <fgColor rgb="FFF3F4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7CC"/>
      <rgbColor rgb="FFF3F4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Visites mensuelles par scénario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Prévisionnel!C3</c:f>
              <c:strCache>
                <c:ptCount val="1"/>
                <c:pt idx="0">
                  <c:v>Pessimiste : visites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Prévisionnel!$A$4:$A$15</c:f>
              <c:strCache>
                <c:ptCount val="12"/>
                <c:pt idx="0">
                  <c:v>nov. 2026</c:v>
                </c:pt>
                <c:pt idx="1">
                  <c:v>déc. 2026</c:v>
                </c:pt>
                <c:pt idx="2">
                  <c:v>janv. 2027</c:v>
                </c:pt>
                <c:pt idx="3">
                  <c:v>févr. 2027</c:v>
                </c:pt>
                <c:pt idx="4">
                  <c:v>mars 2027</c:v>
                </c:pt>
                <c:pt idx="5">
                  <c:v>avr. 2027</c:v>
                </c:pt>
                <c:pt idx="6">
                  <c:v>mai 2027</c:v>
                </c:pt>
                <c:pt idx="7">
                  <c:v>juin 2027</c:v>
                </c:pt>
                <c:pt idx="8">
                  <c:v>juil. 2027</c:v>
                </c:pt>
                <c:pt idx="9">
                  <c:v>août 2027</c:v>
                </c:pt>
                <c:pt idx="10">
                  <c:v>sept. 2027</c:v>
                </c:pt>
                <c:pt idx="11">
                  <c:v>oct. 2027</c:v>
                </c:pt>
              </c:strCache>
            </c:strRef>
          </c:cat>
          <c:val>
            <c:numRef>
              <c:f>Prévisionnel!$C$4:$C$15</c:f>
              <c:numCache>
                <c:formatCode>#,##0</c:formatCode>
                <c:ptCount val="12"/>
                <c:pt idx="0">
                  <c:v>73.6098</c:v>
                </c:pt>
                <c:pt idx="1">
                  <c:v>147.2196</c:v>
                </c:pt>
                <c:pt idx="2">
                  <c:v>245.366</c:v>
                </c:pt>
                <c:pt idx="3">
                  <c:v>368.049</c:v>
                </c:pt>
                <c:pt idx="4">
                  <c:v>539.8052</c:v>
                </c:pt>
                <c:pt idx="5">
                  <c:v>736.098</c:v>
                </c:pt>
                <c:pt idx="6">
                  <c:v>981.464</c:v>
                </c:pt>
                <c:pt idx="7">
                  <c:v>1226.83</c:v>
                </c:pt>
                <c:pt idx="8">
                  <c:v>1521.2692</c:v>
                </c:pt>
                <c:pt idx="9">
                  <c:v>1815.7084</c:v>
                </c:pt>
                <c:pt idx="10">
                  <c:v>2134.6842</c:v>
                </c:pt>
                <c:pt idx="11">
                  <c:v>2453.66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Prévisionnel!G3</c:f>
              <c:strCache>
                <c:ptCount val="1"/>
                <c:pt idx="0">
                  <c:v>Réaliste : visites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Prévisionnel!$A$4:$A$15</c:f>
              <c:strCache>
                <c:ptCount val="12"/>
                <c:pt idx="0">
                  <c:v>nov. 2026</c:v>
                </c:pt>
                <c:pt idx="1">
                  <c:v>déc. 2026</c:v>
                </c:pt>
                <c:pt idx="2">
                  <c:v>janv. 2027</c:v>
                </c:pt>
                <c:pt idx="3">
                  <c:v>févr. 2027</c:v>
                </c:pt>
                <c:pt idx="4">
                  <c:v>mars 2027</c:v>
                </c:pt>
                <c:pt idx="5">
                  <c:v>avr. 2027</c:v>
                </c:pt>
                <c:pt idx="6">
                  <c:v>mai 2027</c:v>
                </c:pt>
                <c:pt idx="7">
                  <c:v>juin 2027</c:v>
                </c:pt>
                <c:pt idx="8">
                  <c:v>juil. 2027</c:v>
                </c:pt>
                <c:pt idx="9">
                  <c:v>août 2027</c:v>
                </c:pt>
                <c:pt idx="10">
                  <c:v>sept. 2027</c:v>
                </c:pt>
                <c:pt idx="11">
                  <c:v>oct. 2027</c:v>
                </c:pt>
              </c:strCache>
            </c:strRef>
          </c:cat>
          <c:val>
            <c:numRef>
              <c:f>Prévisionnel!$G$4:$G$15</c:f>
              <c:numCache>
                <c:formatCode>#,##0</c:formatCode>
                <c:ptCount val="12"/>
                <c:pt idx="0">
                  <c:v>219.3993</c:v>
                </c:pt>
                <c:pt idx="1">
                  <c:v>438.7986</c:v>
                </c:pt>
                <c:pt idx="2">
                  <c:v>731.331</c:v>
                </c:pt>
                <c:pt idx="3">
                  <c:v>1096.9965</c:v>
                </c:pt>
                <c:pt idx="4">
                  <c:v>1608.9282</c:v>
                </c:pt>
                <c:pt idx="5">
                  <c:v>2193.993</c:v>
                </c:pt>
                <c:pt idx="6">
                  <c:v>2925.324</c:v>
                </c:pt>
                <c:pt idx="7">
                  <c:v>3656.655</c:v>
                </c:pt>
                <c:pt idx="8">
                  <c:v>4534.2522</c:v>
                </c:pt>
                <c:pt idx="9">
                  <c:v>5411.8494</c:v>
                </c:pt>
                <c:pt idx="10">
                  <c:v>6362.5797</c:v>
                </c:pt>
                <c:pt idx="11">
                  <c:v>7313.31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Prévisionnel!K3</c:f>
              <c:strCache>
                <c:ptCount val="1"/>
                <c:pt idx="0">
                  <c:v>Optimiste : visites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Prévisionnel!$A$4:$A$15</c:f>
              <c:strCache>
                <c:ptCount val="12"/>
                <c:pt idx="0">
                  <c:v>nov. 2026</c:v>
                </c:pt>
                <c:pt idx="1">
                  <c:v>déc. 2026</c:v>
                </c:pt>
                <c:pt idx="2">
                  <c:v>janv. 2027</c:v>
                </c:pt>
                <c:pt idx="3">
                  <c:v>févr. 2027</c:v>
                </c:pt>
                <c:pt idx="4">
                  <c:v>mars 2027</c:v>
                </c:pt>
                <c:pt idx="5">
                  <c:v>avr. 2027</c:v>
                </c:pt>
                <c:pt idx="6">
                  <c:v>mai 2027</c:v>
                </c:pt>
                <c:pt idx="7">
                  <c:v>juin 2027</c:v>
                </c:pt>
                <c:pt idx="8">
                  <c:v>juil. 2027</c:v>
                </c:pt>
                <c:pt idx="9">
                  <c:v>août 2027</c:v>
                </c:pt>
                <c:pt idx="10">
                  <c:v>sept. 2027</c:v>
                </c:pt>
                <c:pt idx="11">
                  <c:v>oct. 2027</c:v>
                </c:pt>
              </c:strCache>
            </c:strRef>
          </c:cat>
          <c:val>
            <c:numRef>
              <c:f>Prévisionnel!$K$4:$K$15</c:f>
              <c:numCache>
                <c:formatCode>#,##0</c:formatCode>
                <c:ptCount val="12"/>
                <c:pt idx="0">
                  <c:v>560.6025</c:v>
                </c:pt>
                <c:pt idx="1">
                  <c:v>1121.205</c:v>
                </c:pt>
                <c:pt idx="2">
                  <c:v>1868.675</c:v>
                </c:pt>
                <c:pt idx="3">
                  <c:v>2803.0125</c:v>
                </c:pt>
                <c:pt idx="4">
                  <c:v>4111.085</c:v>
                </c:pt>
                <c:pt idx="5">
                  <c:v>5606.025</c:v>
                </c:pt>
                <c:pt idx="6">
                  <c:v>7474.7</c:v>
                </c:pt>
                <c:pt idx="7">
                  <c:v>9343.375</c:v>
                </c:pt>
                <c:pt idx="8">
                  <c:v>11585.785</c:v>
                </c:pt>
                <c:pt idx="9">
                  <c:v>13828.195</c:v>
                </c:pt>
                <c:pt idx="10">
                  <c:v>16257.4725</c:v>
                </c:pt>
                <c:pt idx="11">
                  <c:v>18686.75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703623"/>
        <c:axId val="25699919"/>
      </c:lineChart>
      <c:catAx>
        <c:axId val="647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99919"/>
        <c:crosses val="autoZero"/>
        <c:auto val="1"/>
        <c:lblAlgn val="ctr"/>
        <c:lblOffset val="100"/>
        <c:noMultiLvlLbl val="0"/>
      </c:catAx>
      <c:valAx>
        <c:axId val="25699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036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19</xdr:row>
      <xdr:rowOff>0</xdr:rowOff>
    </xdr:from>
    <xdr:to>
      <xdr:col>8</xdr:col>
      <xdr:colOff>559080</xdr:colOff>
      <xdr:row>34</xdr:row>
      <xdr:rowOff>22320</xdr:rowOff>
    </xdr:to>
    <xdr:graphicFrame>
      <xdr:nvGraphicFramePr>
        <xdr:cNvPr id="0" name="Chart 1"/>
        <xdr:cNvGraphicFramePr/>
      </xdr:nvGraphicFramePr>
      <xdr:xfrm>
        <a:off x="2114640" y="39816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Prévisionnel!C16</f>
        <v>12243.7634</v>
      </c>
      <c r="C5" s="5" t="n">
        <f aca="false">Prévisionnel!G16</f>
        <v>36493.4169</v>
      </c>
      <c r="D5" s="5" t="n">
        <f aca="false">Prévisionnel!K16</f>
        <v>93246.8825</v>
      </c>
    </row>
    <row r="6" customFormat="false" ht="15" hidden="false" customHeight="false" outlineLevel="0" collapsed="false">
      <c r="A6" s="4" t="s">
        <v>7</v>
      </c>
      <c r="B6" s="5" t="n">
        <f aca="false">Prévisionnel!C15</f>
        <v>2453.66</v>
      </c>
      <c r="C6" s="5" t="n">
        <f aca="false">Prévisionnel!G15</f>
        <v>7313.31</v>
      </c>
      <c r="D6" s="5" t="n">
        <f aca="false">Prévisionnel!K15</f>
        <v>18686.75</v>
      </c>
    </row>
    <row r="7" customFormat="false" ht="15" hidden="false" customHeight="false" outlineLevel="0" collapsed="false">
      <c r="A7" s="4" t="s">
        <v>8</v>
      </c>
      <c r="B7" s="5" t="n">
        <f aca="false">B6/31</f>
        <v>79.1503225806452</v>
      </c>
      <c r="C7" s="5" t="n">
        <f aca="false">C6/31</f>
        <v>235.913225806452</v>
      </c>
      <c r="D7" s="5" t="n">
        <f aca="false">D6/31</f>
        <v>602.798387096774</v>
      </c>
    </row>
    <row r="8" customFormat="false" ht="15" hidden="false" customHeight="false" outlineLevel="0" collapsed="false">
      <c r="A8" s="4" t="s">
        <v>9</v>
      </c>
      <c r="B8" s="5" t="n">
        <f aca="false">Prévisionnel!D16</f>
        <v>612.18817</v>
      </c>
      <c r="C8" s="5" t="n">
        <f aca="false">Prévisionnel!H16</f>
        <v>2919.473352</v>
      </c>
      <c r="D8" s="5" t="n">
        <f aca="false">Prévisionnel!L16</f>
        <v>10257.157075</v>
      </c>
    </row>
    <row r="9" customFormat="false" ht="15" hidden="false" customHeight="false" outlineLevel="0" collapsed="false">
      <c r="A9" s="4" t="s">
        <v>10</v>
      </c>
      <c r="B9" s="5" t="n">
        <f aca="false">Prévisionnel!E16</f>
        <v>3.8883540375</v>
      </c>
      <c r="C9" s="5" t="n">
        <f aca="false">Prévisionnel!I16</f>
        <v>43.5184495167273</v>
      </c>
      <c r="D9" s="5" t="n">
        <f aca="false">Prévisionnel!M16</f>
        <v>280.1891295</v>
      </c>
    </row>
    <row r="10" customFormat="false" ht="15" hidden="false" customHeight="false" outlineLevel="0" collapsed="false">
      <c r="A10" s="4" t="s">
        <v>11</v>
      </c>
      <c r="B10" s="6" t="n">
        <f aca="false">Prévisionnel!F16</f>
        <v>116.650621125</v>
      </c>
      <c r="C10" s="6" t="n">
        <f aca="false">Prévisionnel!J16</f>
        <v>2175.92247583636</v>
      </c>
      <c r="D10" s="6" t="n">
        <f aca="false">Prévisionnel!N16</f>
        <v>22415.13036</v>
      </c>
    </row>
    <row r="11" customFormat="false" ht="15" hidden="false" customHeight="false" outlineLevel="0" collapsed="false">
      <c r="A11" s="4" t="s">
        <v>12</v>
      </c>
      <c r="B11" s="6" t="n">
        <f aca="false">Prévisionnel!F15</f>
        <v>24.8433075</v>
      </c>
      <c r="C11" s="6" t="n">
        <f aca="false">Prévisionnel!J15</f>
        <v>482.67846</v>
      </c>
      <c r="D11" s="6" t="n">
        <f aca="false">Prévisionnel!N15</f>
        <v>5179.9671</v>
      </c>
    </row>
    <row r="12" customFormat="false" ht="15" hidden="false" customHeight="false" outlineLevel="0" collapsed="false">
      <c r="A12" s="4" t="s">
        <v>13</v>
      </c>
      <c r="B12" s="6" t="n">
        <f aca="false">Prévisionnel!F15*12</f>
        <v>298.11969</v>
      </c>
      <c r="C12" s="6" t="n">
        <f aca="false">Prévisionnel!J15*12</f>
        <v>5792.14152</v>
      </c>
      <c r="D12" s="6" t="n">
        <f aca="false">Prévisionnel!N15*12</f>
        <v>62159.6052</v>
      </c>
    </row>
    <row r="14" customFormat="false" ht="15" hidden="false" customHeight="false" outlineLevel="0" collapsed="false">
      <c r="A14" s="7" t="s">
        <v>14</v>
      </c>
    </row>
    <row r="15" customFormat="false" ht="15" hidden="false" customHeight="false" outlineLevel="0" collapsed="false">
      <c r="A15" s="4" t="s">
        <v>15</v>
      </c>
    </row>
    <row r="16" customFormat="false" ht="15" hidden="false" customHeight="false" outlineLevel="0" collapsed="false">
      <c r="A16" s="4" t="s">
        <v>16</v>
      </c>
    </row>
    <row r="17" customFormat="false" ht="15" hidden="false" customHeight="false" outlineLevel="0" collapsed="false">
      <c r="A17" s="4" t="s">
        <v>17</v>
      </c>
    </row>
    <row r="18" customFormat="false" ht="15" hidden="false" customHeight="false" outlineLevel="0" collapsed="false">
      <c r="A18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5" min="3" style="0" width="13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19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3</v>
      </c>
      <c r="D3" s="3" t="s">
        <v>4</v>
      </c>
      <c r="E3" s="3" t="s">
        <v>5</v>
      </c>
      <c r="F3" s="3" t="s">
        <v>22</v>
      </c>
    </row>
    <row r="4" customFormat="false" ht="23.85" hidden="false" customHeight="false" outlineLevel="0" collapsed="false">
      <c r="A4" s="8" t="s">
        <v>23</v>
      </c>
      <c r="B4" s="4" t="s">
        <v>24</v>
      </c>
      <c r="C4" s="9" t="n">
        <v>379640</v>
      </c>
      <c r="D4" s="9" t="n">
        <v>379640</v>
      </c>
      <c r="E4" s="9" t="n">
        <v>379640</v>
      </c>
      <c r="F4" s="10" t="s">
        <v>25</v>
      </c>
    </row>
    <row r="5" customFormat="false" ht="23.85" hidden="false" customHeight="false" outlineLevel="0" collapsed="false">
      <c r="A5" s="8" t="s">
        <v>26</v>
      </c>
      <c r="B5" s="4" t="s">
        <v>24</v>
      </c>
      <c r="C5" s="9" t="n">
        <v>664800</v>
      </c>
      <c r="D5" s="9" t="n">
        <v>664800</v>
      </c>
      <c r="E5" s="9" t="n">
        <v>664800</v>
      </c>
      <c r="F5" s="10" t="s">
        <v>27</v>
      </c>
    </row>
    <row r="6" customFormat="false" ht="23.85" hidden="false" customHeight="false" outlineLevel="0" collapsed="false">
      <c r="A6" s="8" t="s">
        <v>28</v>
      </c>
      <c r="B6" s="4" t="s">
        <v>29</v>
      </c>
      <c r="C6" s="11" t="n">
        <v>0.005</v>
      </c>
      <c r="D6" s="11" t="n">
        <v>0.015</v>
      </c>
      <c r="E6" s="11" t="n">
        <v>0.035</v>
      </c>
      <c r="F6" s="10" t="s">
        <v>30</v>
      </c>
    </row>
    <row r="7" customFormat="false" ht="15" hidden="false" customHeight="false" outlineLevel="0" collapsed="false">
      <c r="A7" s="8" t="s">
        <v>31</v>
      </c>
      <c r="B7" s="4" t="s">
        <v>29</v>
      </c>
      <c r="C7" s="11" t="n">
        <v>0.0005</v>
      </c>
      <c r="D7" s="11" t="n">
        <v>0.001</v>
      </c>
      <c r="E7" s="11" t="n">
        <v>0.0025</v>
      </c>
      <c r="F7" s="10" t="s">
        <v>32</v>
      </c>
    </row>
    <row r="8" customFormat="false" ht="15" hidden="false" customHeight="false" outlineLevel="0" collapsed="false">
      <c r="A8" s="8" t="s">
        <v>33</v>
      </c>
      <c r="B8" s="4" t="s">
        <v>34</v>
      </c>
      <c r="C8" s="12" t="n">
        <v>0.1</v>
      </c>
      <c r="D8" s="12" t="n">
        <v>0.15</v>
      </c>
      <c r="E8" s="12" t="n">
        <v>0.25</v>
      </c>
      <c r="F8" s="10" t="s">
        <v>35</v>
      </c>
    </row>
    <row r="9" customFormat="false" ht="23.85" hidden="false" customHeight="false" outlineLevel="0" collapsed="false">
      <c r="A9" s="8" t="s">
        <v>36</v>
      </c>
      <c r="B9" s="4" t="s">
        <v>37</v>
      </c>
      <c r="C9" s="11" t="n">
        <v>0.05</v>
      </c>
      <c r="D9" s="11" t="n">
        <v>0.08</v>
      </c>
      <c r="E9" s="11" t="n">
        <v>0.11</v>
      </c>
      <c r="F9" s="10" t="s">
        <v>38</v>
      </c>
    </row>
    <row r="10" customFormat="false" ht="23.85" hidden="false" customHeight="false" outlineLevel="0" collapsed="false">
      <c r="A10" s="8" t="s">
        <v>39</v>
      </c>
      <c r="B10" s="4" t="s">
        <v>29</v>
      </c>
      <c r="C10" s="11" t="n">
        <v>0.35</v>
      </c>
      <c r="D10" s="11" t="n">
        <v>0.35</v>
      </c>
      <c r="E10" s="11" t="n">
        <v>0.35</v>
      </c>
      <c r="F10" s="10" t="s">
        <v>40</v>
      </c>
    </row>
    <row r="11" customFormat="false" ht="23.85" hidden="false" customHeight="false" outlineLevel="0" collapsed="false">
      <c r="A11" s="8" t="s">
        <v>41</v>
      </c>
      <c r="B11" s="4" t="s">
        <v>29</v>
      </c>
      <c r="C11" s="11" t="n">
        <v>0.45</v>
      </c>
      <c r="D11" s="11" t="n">
        <v>0.55</v>
      </c>
      <c r="E11" s="11" t="n">
        <v>0.7</v>
      </c>
      <c r="F11" s="10" t="s">
        <v>42</v>
      </c>
    </row>
    <row r="12" customFormat="false" ht="15" hidden="false" customHeight="false" outlineLevel="0" collapsed="false">
      <c r="A12" s="8" t="s">
        <v>43</v>
      </c>
      <c r="B12" s="4" t="s">
        <v>29</v>
      </c>
      <c r="C12" s="11" t="n">
        <v>0.015</v>
      </c>
      <c r="D12" s="11" t="n">
        <v>0.03</v>
      </c>
      <c r="E12" s="11" t="n">
        <v>0.045</v>
      </c>
      <c r="F12" s="10" t="s">
        <v>44</v>
      </c>
    </row>
    <row r="13" customFormat="false" ht="23.85" hidden="false" customHeight="false" outlineLevel="0" collapsed="false">
      <c r="A13" s="8" t="s">
        <v>45</v>
      </c>
      <c r="B13" s="4" t="s">
        <v>46</v>
      </c>
      <c r="C13" s="13" t="n">
        <v>30</v>
      </c>
      <c r="D13" s="13" t="n">
        <v>50</v>
      </c>
      <c r="E13" s="13" t="n">
        <v>80</v>
      </c>
      <c r="F13" s="10" t="s">
        <v>47</v>
      </c>
    </row>
    <row r="15" customFormat="false" ht="15" hidden="false" customHeight="false" outlineLevel="0" collapsed="false">
      <c r="A15" s="7" t="s">
        <v>48</v>
      </c>
    </row>
    <row r="16" customFormat="false" ht="15" hidden="false" customHeight="false" outlineLevel="0" collapsed="false">
      <c r="A16" s="4" t="s">
        <v>49</v>
      </c>
      <c r="C16" s="4" t="s">
        <v>50</v>
      </c>
    </row>
    <row r="17" customFormat="false" ht="15" hidden="false" customHeight="false" outlineLevel="0" collapsed="false">
      <c r="A17" s="4" t="s">
        <v>51</v>
      </c>
      <c r="C17" s="4" t="s">
        <v>52</v>
      </c>
    </row>
    <row r="18" customFormat="false" ht="15" hidden="false" customHeight="false" outlineLevel="0" collapsed="false">
      <c r="A18" s="4" t="s">
        <v>53</v>
      </c>
      <c r="C18" s="4" t="s">
        <v>54</v>
      </c>
    </row>
    <row r="19" customFormat="false" ht="15" hidden="false" customHeight="false" outlineLevel="0" collapsed="false">
      <c r="A19" s="4" t="s">
        <v>55</v>
      </c>
      <c r="C19" s="4" t="s">
        <v>56</v>
      </c>
    </row>
    <row r="20" customFormat="false" ht="15" hidden="false" customHeight="false" outlineLevel="0" collapsed="false">
      <c r="A20" s="4" t="s">
        <v>57</v>
      </c>
      <c r="C20" s="4" t="s">
        <v>58</v>
      </c>
    </row>
    <row r="22" customFormat="false" ht="15" hidden="false" customHeight="false" outlineLevel="0" collapsed="false">
      <c r="A22" s="1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14" min="3" style="0" width="14"/>
  </cols>
  <sheetData>
    <row r="1" customFormat="false" ht="15" hidden="false" customHeight="false" outlineLevel="0" collapsed="false">
      <c r="A1" s="1" t="s">
        <v>60</v>
      </c>
    </row>
    <row r="3" customFormat="false" ht="43.5" hidden="false" customHeight="true" outlineLevel="0" collapsed="false">
      <c r="A3" s="15" t="s">
        <v>61</v>
      </c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  <c r="G3" s="15" t="s">
        <v>67</v>
      </c>
      <c r="H3" s="15" t="s">
        <v>68</v>
      </c>
      <c r="I3" s="15" t="s">
        <v>69</v>
      </c>
      <c r="J3" s="15" t="s">
        <v>70</v>
      </c>
      <c r="K3" s="15" t="s">
        <v>71</v>
      </c>
      <c r="L3" s="15" t="s">
        <v>72</v>
      </c>
      <c r="M3" s="15" t="s">
        <v>73</v>
      </c>
      <c r="N3" s="15" t="s">
        <v>74</v>
      </c>
    </row>
    <row r="4" customFormat="false" ht="15" hidden="false" customHeight="false" outlineLevel="0" collapsed="false">
      <c r="A4" s="4" t="s">
        <v>75</v>
      </c>
      <c r="B4" s="12" t="n">
        <v>0.03</v>
      </c>
      <c r="C4" s="16" t="n">
        <f aca="false">(Hypothèses!$C$4*Hypothèses!$C$6+Hypothèses!$C$5*Hypothèses!$C$7)*$B4*(1+Hypothèses!$C$8)</f>
        <v>73.6098</v>
      </c>
      <c r="D4" s="16" t="n">
        <f aca="false">C4*Hypothèses!$C$9</f>
        <v>3.68049</v>
      </c>
      <c r="E4" s="17" t="n">
        <f aca="false">D4*(Hypothèses!$C$10+(Hypothèses!$C$11-Hypothèses!$C$10)*0/11)*Hypothèses!$C$12</f>
        <v>0.0193225725</v>
      </c>
      <c r="F4" s="18" t="n">
        <f aca="false">E4*Hypothèses!$C$13</f>
        <v>0.579677175</v>
      </c>
      <c r="G4" s="16" t="n">
        <f aca="false">(Hypothèses!$D$4*Hypothèses!$D$6+Hypothèses!$D$5*Hypothèses!$D$7)*$B4*(1+Hypothèses!$D$8)</f>
        <v>219.3993</v>
      </c>
      <c r="H4" s="16" t="n">
        <f aca="false">G4*Hypothèses!$D$9</f>
        <v>17.551944</v>
      </c>
      <c r="I4" s="17" t="n">
        <f aca="false">H4*(Hypothèses!$D$10+(Hypothèses!$D$11-Hypothèses!$D$10)*0/11)*Hypothèses!$D$12</f>
        <v>0.184295412</v>
      </c>
      <c r="J4" s="18" t="n">
        <f aca="false">I4*Hypothèses!$D$13</f>
        <v>9.2147706</v>
      </c>
      <c r="K4" s="16" t="n">
        <f aca="false">(Hypothèses!$E$4*Hypothèses!$E$6+Hypothèses!$E$5*Hypothèses!$E$7)*$B4*(1+Hypothèses!$E$8)</f>
        <v>560.6025</v>
      </c>
      <c r="L4" s="16" t="n">
        <f aca="false">K4*Hypothèses!$E$9</f>
        <v>61.666275</v>
      </c>
      <c r="M4" s="17" t="n">
        <f aca="false">L4*(Hypothèses!$E$10+(Hypothèses!$E$11-Hypothèses!$E$10)*0/11)*Hypothèses!$E$12</f>
        <v>0.97124383125</v>
      </c>
      <c r="N4" s="18" t="n">
        <f aca="false">M4*Hypothèses!$E$13</f>
        <v>77.6995065</v>
      </c>
    </row>
    <row r="5" customFormat="false" ht="15" hidden="false" customHeight="false" outlineLevel="0" collapsed="false">
      <c r="A5" s="4" t="s">
        <v>76</v>
      </c>
      <c r="B5" s="12" t="n">
        <v>0.06</v>
      </c>
      <c r="C5" s="16" t="n">
        <f aca="false">(Hypothèses!$C$4*Hypothèses!$C$6+Hypothèses!$C$5*Hypothèses!$C$7)*$B5*(1+Hypothèses!$C$8)</f>
        <v>147.2196</v>
      </c>
      <c r="D5" s="16" t="n">
        <f aca="false">C5*Hypothèses!$C$9</f>
        <v>7.36098</v>
      </c>
      <c r="E5" s="17" t="n">
        <f aca="false">D5*(Hypothèses!$C$10+(Hypothèses!$C$11-Hypothèses!$C$10)*1/11)*Hypothèses!$C$12</f>
        <v>0.039648915</v>
      </c>
      <c r="F5" s="18" t="n">
        <f aca="false">E5*Hypothèses!$C$13</f>
        <v>1.18946745</v>
      </c>
      <c r="G5" s="16" t="n">
        <f aca="false">(Hypothèses!$D$4*Hypothèses!$D$6+Hypothèses!$D$5*Hypothèses!$D$7)*$B5*(1+Hypothèses!$D$8)</f>
        <v>438.7986</v>
      </c>
      <c r="H5" s="16" t="n">
        <f aca="false">G5*Hypothèses!$D$9</f>
        <v>35.103888</v>
      </c>
      <c r="I5" s="17" t="n">
        <f aca="false">H5*(Hypothèses!$D$10+(Hypothèses!$D$11-Hypothèses!$D$10)*1/11)*Hypothèses!$D$12</f>
        <v>0.387738399272727</v>
      </c>
      <c r="J5" s="18" t="n">
        <f aca="false">I5*Hypothèses!$D$13</f>
        <v>19.3869199636364</v>
      </c>
      <c r="K5" s="16" t="n">
        <f aca="false">(Hypothèses!$E$4*Hypothèses!$E$6+Hypothèses!$E$5*Hypothèses!$E$7)*$B5*(1+Hypothèses!$E$8)</f>
        <v>1121.205</v>
      </c>
      <c r="L5" s="16" t="n">
        <f aca="false">K5*Hypothèses!$E$9</f>
        <v>123.33255</v>
      </c>
      <c r="M5" s="17" t="n">
        <f aca="false">L5*(Hypothèses!$E$10+(Hypothèses!$E$11-Hypothèses!$E$10)*1/11)*Hypothèses!$E$12</f>
        <v>2.11907745</v>
      </c>
      <c r="N5" s="18" t="n">
        <f aca="false">M5*Hypothèses!$E$13</f>
        <v>169.526196</v>
      </c>
    </row>
    <row r="6" customFormat="false" ht="15" hidden="false" customHeight="false" outlineLevel="0" collapsed="false">
      <c r="A6" s="4" t="s">
        <v>77</v>
      </c>
      <c r="B6" s="12" t="n">
        <v>0.1</v>
      </c>
      <c r="C6" s="16" t="n">
        <f aca="false">(Hypothèses!$C$4*Hypothèses!$C$6+Hypothèses!$C$5*Hypothèses!$C$7)*$B6*(1+Hypothèses!$C$8)</f>
        <v>245.366</v>
      </c>
      <c r="D6" s="16" t="n">
        <f aca="false">C6*Hypothèses!$C$9</f>
        <v>12.2683</v>
      </c>
      <c r="E6" s="17" t="n">
        <f aca="false">D6*(Hypothèses!$C$10+(Hypothèses!$C$11-Hypothèses!$C$10)*2/11)*Hypothèses!$C$12</f>
        <v>0.067754475</v>
      </c>
      <c r="F6" s="18" t="n">
        <f aca="false">E6*Hypothèses!$C$13</f>
        <v>2.03263425</v>
      </c>
      <c r="G6" s="16" t="n">
        <f aca="false">(Hypothèses!$D$4*Hypothèses!$D$6+Hypothèses!$D$5*Hypothèses!$D$7)*$B6*(1+Hypothèses!$D$8)</f>
        <v>731.331</v>
      </c>
      <c r="H6" s="16" t="n">
        <f aca="false">G6*Hypothèses!$D$9</f>
        <v>58.50648</v>
      </c>
      <c r="I6" s="17" t="n">
        <f aca="false">H6*(Hypothèses!$D$10+(Hypothèses!$D$11-Hypothèses!$D$10)*2/11)*Hypothèses!$D$12</f>
        <v>0.678143290909091</v>
      </c>
      <c r="J6" s="18" t="n">
        <f aca="false">I6*Hypothèses!$D$13</f>
        <v>33.9071645454545</v>
      </c>
      <c r="K6" s="16" t="n">
        <f aca="false">(Hypothèses!$E$4*Hypothèses!$E$6+Hypothèses!$E$5*Hypothèses!$E$7)*$B6*(1+Hypothèses!$E$8)</f>
        <v>1868.675</v>
      </c>
      <c r="L6" s="16" t="n">
        <f aca="false">K6*Hypothèses!$E$9</f>
        <v>205.55425</v>
      </c>
      <c r="M6" s="17" t="n">
        <f aca="false">L6*(Hypothèses!$E$10+(Hypothèses!$E$11-Hypothèses!$E$10)*2/11)*Hypothèses!$E$12</f>
        <v>3.8261120625</v>
      </c>
      <c r="N6" s="18" t="n">
        <f aca="false">M6*Hypothèses!$E$13</f>
        <v>306.088965</v>
      </c>
    </row>
    <row r="7" customFormat="false" ht="15" hidden="false" customHeight="false" outlineLevel="0" collapsed="false">
      <c r="A7" s="4" t="s">
        <v>78</v>
      </c>
      <c r="B7" s="12" t="n">
        <v>0.15</v>
      </c>
      <c r="C7" s="16" t="n">
        <f aca="false">(Hypothèses!$C$4*Hypothèses!$C$6+Hypothèses!$C$5*Hypothèses!$C$7)*$B7*(1+Hypothèses!$C$8)</f>
        <v>368.049</v>
      </c>
      <c r="D7" s="16" t="n">
        <f aca="false">C7*Hypothèses!$C$9</f>
        <v>18.40245</v>
      </c>
      <c r="E7" s="17" t="n">
        <f aca="false">D7*(Hypothèses!$C$10+(Hypothèses!$C$11-Hypothèses!$C$10)*3/11)*Hypothèses!$C$12</f>
        <v>0.1041411375</v>
      </c>
      <c r="F7" s="18" t="n">
        <f aca="false">E7*Hypothèses!$C$13</f>
        <v>3.124234125</v>
      </c>
      <c r="G7" s="16" t="n">
        <f aca="false">(Hypothèses!$D$4*Hypothèses!$D$6+Hypothèses!$D$5*Hypothèses!$D$7)*$B7*(1+Hypothèses!$D$8)</f>
        <v>1096.9965</v>
      </c>
      <c r="H7" s="16" t="n">
        <f aca="false">G7*Hypothèses!$D$9</f>
        <v>87.75972</v>
      </c>
      <c r="I7" s="17" t="n">
        <f aca="false">H7*(Hypothèses!$D$10+(Hypothèses!$D$11-Hypothèses!$D$10)*3/11)*Hypothèses!$D$12</f>
        <v>1.06508387454545</v>
      </c>
      <c r="J7" s="18" t="n">
        <f aca="false">I7*Hypothèses!$D$13</f>
        <v>53.2541937272727</v>
      </c>
      <c r="K7" s="16" t="n">
        <f aca="false">(Hypothèses!$E$4*Hypothèses!$E$6+Hypothèses!$E$5*Hypothèses!$E$7)*$B7*(1+Hypothèses!$E$8)</f>
        <v>2803.0125</v>
      </c>
      <c r="L7" s="16" t="n">
        <f aca="false">K7*Hypothèses!$E$9</f>
        <v>308.331375</v>
      </c>
      <c r="M7" s="17" t="n">
        <f aca="false">L7*(Hypothèses!$E$10+(Hypothèses!$E$11-Hypothèses!$E$10)*3/11)*Hypothèses!$E$12</f>
        <v>6.1806425625</v>
      </c>
      <c r="N7" s="18" t="n">
        <f aca="false">M7*Hypothèses!$E$13</f>
        <v>494.451405</v>
      </c>
    </row>
    <row r="8" customFormat="false" ht="15" hidden="false" customHeight="false" outlineLevel="0" collapsed="false">
      <c r="A8" s="4" t="s">
        <v>79</v>
      </c>
      <c r="B8" s="12" t="n">
        <v>0.22</v>
      </c>
      <c r="C8" s="16" t="n">
        <f aca="false">(Hypothèses!$C$4*Hypothèses!$C$6+Hypothèses!$C$5*Hypothèses!$C$7)*$B8*(1+Hypothèses!$C$8)</f>
        <v>539.8052</v>
      </c>
      <c r="D8" s="16" t="n">
        <f aca="false">C8*Hypothèses!$C$9</f>
        <v>26.99026</v>
      </c>
      <c r="E8" s="17" t="n">
        <f aca="false">D8*(Hypothèses!$C$10+(Hypothèses!$C$11-Hypothèses!$C$10)*4/11)*Hypothèses!$C$12</f>
        <v>0.156420825</v>
      </c>
      <c r="F8" s="18" t="n">
        <f aca="false">E8*Hypothèses!$C$13</f>
        <v>4.69262475</v>
      </c>
      <c r="G8" s="16" t="n">
        <f aca="false">(Hypothèses!$D$4*Hypothèses!$D$6+Hypothèses!$D$5*Hypothèses!$D$7)*$B8*(1+Hypothèses!$D$8)</f>
        <v>1608.9282</v>
      </c>
      <c r="H8" s="16" t="n">
        <f aca="false">G8*Hypothèses!$D$9</f>
        <v>128.714256</v>
      </c>
      <c r="I8" s="17" t="n">
        <f aca="false">H8*(Hypothèses!$D$10+(Hypothèses!$D$11-Hypothèses!$D$10)*4/11)*Hypothèses!$D$12</f>
        <v>1.632330792</v>
      </c>
      <c r="J8" s="18" t="n">
        <f aca="false">I8*Hypothèses!$D$13</f>
        <v>81.6165396</v>
      </c>
      <c r="K8" s="16" t="n">
        <f aca="false">(Hypothèses!$E$4*Hypothèses!$E$6+Hypothèses!$E$5*Hypothèses!$E$7)*$B8*(1+Hypothèses!$E$8)</f>
        <v>4111.085</v>
      </c>
      <c r="L8" s="16" t="n">
        <f aca="false">K8*Hypothèses!$E$9</f>
        <v>452.21935</v>
      </c>
      <c r="M8" s="17" t="n">
        <f aca="false">L8*(Hypothèses!$E$10+(Hypothèses!$E$11-Hypothèses!$E$10)*4/11)*Hypothèses!$E$12</f>
        <v>9.7124383125</v>
      </c>
      <c r="N8" s="18" t="n">
        <f aca="false">M8*Hypothèses!$E$13</f>
        <v>776.995065</v>
      </c>
    </row>
    <row r="9" customFormat="false" ht="15" hidden="false" customHeight="false" outlineLevel="0" collapsed="false">
      <c r="A9" s="4" t="s">
        <v>80</v>
      </c>
      <c r="B9" s="12" t="n">
        <v>0.3</v>
      </c>
      <c r="C9" s="16" t="n">
        <f aca="false">(Hypothèses!$C$4*Hypothèses!$C$6+Hypothèses!$C$5*Hypothèses!$C$7)*$B9*(1+Hypothèses!$C$8)</f>
        <v>736.098</v>
      </c>
      <c r="D9" s="16" t="n">
        <f aca="false">C9*Hypothèses!$C$9</f>
        <v>36.8049</v>
      </c>
      <c r="E9" s="17" t="n">
        <f aca="false">D9*(Hypothèses!$C$10+(Hypothèses!$C$11-Hypothèses!$C$10)*5/11)*Hypothèses!$C$12</f>
        <v>0.218319975</v>
      </c>
      <c r="F9" s="18" t="n">
        <f aca="false">E9*Hypothèses!$C$13</f>
        <v>6.54959925</v>
      </c>
      <c r="G9" s="16" t="n">
        <f aca="false">(Hypothèses!$D$4*Hypothèses!$D$6+Hypothèses!$D$5*Hypothèses!$D$7)*$B9*(1+Hypothèses!$D$8)</f>
        <v>2193.993</v>
      </c>
      <c r="H9" s="16" t="n">
        <f aca="false">G9*Hypothèses!$D$9</f>
        <v>175.51944</v>
      </c>
      <c r="I9" s="17" t="n">
        <f aca="false">H9*(Hypothèses!$D$10+(Hypothèses!$D$11-Hypothèses!$D$10)*5/11)*Hypothèses!$D$12</f>
        <v>2.32164350181818</v>
      </c>
      <c r="J9" s="18" t="n">
        <f aca="false">I9*Hypothèses!$D$13</f>
        <v>116.082175090909</v>
      </c>
      <c r="K9" s="16" t="n">
        <f aca="false">(Hypothèses!$E$4*Hypothèses!$E$6+Hypothèses!$E$5*Hypothèses!$E$7)*$B9*(1+Hypothèses!$E$8)</f>
        <v>5606.025</v>
      </c>
      <c r="L9" s="16" t="n">
        <f aca="false">K9*Hypothèses!$E$9</f>
        <v>616.66275</v>
      </c>
      <c r="M9" s="17" t="n">
        <f aca="false">L9*(Hypothèses!$E$10+(Hypothèses!$E$11-Hypothèses!$E$10)*5/11)*Hypothèses!$E$12</f>
        <v>14.127183</v>
      </c>
      <c r="N9" s="18" t="n">
        <f aca="false">M9*Hypothèses!$E$13</f>
        <v>1130.17464</v>
      </c>
    </row>
    <row r="10" customFormat="false" ht="15" hidden="false" customHeight="false" outlineLevel="0" collapsed="false">
      <c r="A10" s="4" t="s">
        <v>81</v>
      </c>
      <c r="B10" s="12" t="n">
        <v>0.4</v>
      </c>
      <c r="C10" s="16" t="n">
        <f aca="false">(Hypothèses!$C$4*Hypothèses!$C$6+Hypothèses!$C$5*Hypothèses!$C$7)*$B10*(1+Hypothèses!$C$8)</f>
        <v>981.464</v>
      </c>
      <c r="D10" s="16" t="n">
        <f aca="false">C10*Hypothèses!$C$9</f>
        <v>49.0732</v>
      </c>
      <c r="E10" s="17" t="n">
        <f aca="false">D10*(Hypothèses!$C$10+(Hypothèses!$C$11-Hypothèses!$C$10)*6/11)*Hypothèses!$C$12</f>
        <v>0.2977851</v>
      </c>
      <c r="F10" s="18" t="n">
        <f aca="false">E10*Hypothèses!$C$13</f>
        <v>8.933553</v>
      </c>
      <c r="G10" s="16" t="n">
        <f aca="false">(Hypothèses!$D$4*Hypothèses!$D$6+Hypothèses!$D$5*Hypothèses!$D$7)*$B10*(1+Hypothèses!$D$8)</f>
        <v>2925.324</v>
      </c>
      <c r="H10" s="16" t="n">
        <f aca="false">G10*Hypothèses!$D$9</f>
        <v>234.02592</v>
      </c>
      <c r="I10" s="17" t="n">
        <f aca="false">H10*(Hypothèses!$D$10+(Hypothèses!$D$11-Hypothèses!$D$10)*6/11)*Hypothèses!$D$12</f>
        <v>3.22317517090909</v>
      </c>
      <c r="J10" s="18" t="n">
        <f aca="false">I10*Hypothèses!$D$13</f>
        <v>161.158758545455</v>
      </c>
      <c r="K10" s="16" t="n">
        <f aca="false">(Hypothèses!$E$4*Hypothèses!$E$6+Hypothèses!$E$5*Hypothèses!$E$7)*$B10*(1+Hypothèses!$E$8)</f>
        <v>7474.7</v>
      </c>
      <c r="L10" s="16" t="n">
        <f aca="false">K10*Hypothèses!$E$9</f>
        <v>822.217</v>
      </c>
      <c r="M10" s="17" t="n">
        <f aca="false">L10*(Hypothèses!$E$10+(Hypothèses!$E$11-Hypothèses!$E$10)*6/11)*Hypothèses!$E$12</f>
        <v>20.01350925</v>
      </c>
      <c r="N10" s="18" t="n">
        <f aca="false">M10*Hypothèses!$E$13</f>
        <v>1601.08074</v>
      </c>
    </row>
    <row r="11" customFormat="false" ht="15" hidden="false" customHeight="false" outlineLevel="0" collapsed="false">
      <c r="A11" s="4" t="s">
        <v>82</v>
      </c>
      <c r="B11" s="12" t="n">
        <v>0.5</v>
      </c>
      <c r="C11" s="16" t="n">
        <f aca="false">(Hypothèses!$C$4*Hypothèses!$C$6+Hypothèses!$C$5*Hypothèses!$C$7)*$B11*(1+Hypothèses!$C$8)</f>
        <v>1226.83</v>
      </c>
      <c r="D11" s="16" t="n">
        <f aca="false">C11*Hypothèses!$C$9</f>
        <v>61.3415</v>
      </c>
      <c r="E11" s="17" t="n">
        <f aca="false">D11*(Hypothèses!$C$10+(Hypothèses!$C$11-Hypothèses!$C$10)*7/11)*Hypothèses!$C$12</f>
        <v>0.380596125</v>
      </c>
      <c r="F11" s="18" t="n">
        <f aca="false">E11*Hypothèses!$C$13</f>
        <v>11.41788375</v>
      </c>
      <c r="G11" s="16" t="n">
        <f aca="false">(Hypothèses!$D$4*Hypothèses!$D$6+Hypothèses!$D$5*Hypothèses!$D$7)*$B11*(1+Hypothèses!$D$8)</f>
        <v>3656.655</v>
      </c>
      <c r="H11" s="16" t="n">
        <f aca="false">G11*Hypothèses!$D$9</f>
        <v>292.5324</v>
      </c>
      <c r="I11" s="17" t="n">
        <f aca="false">H11*(Hypothèses!$D$10+(Hypothèses!$D$11-Hypothèses!$D$10)*7/11)*Hypothèses!$D$12</f>
        <v>4.18853209090909</v>
      </c>
      <c r="J11" s="18" t="n">
        <f aca="false">I11*Hypothèses!$D$13</f>
        <v>209.426604545455</v>
      </c>
      <c r="K11" s="16" t="n">
        <f aca="false">(Hypothèses!$E$4*Hypothèses!$E$6+Hypothèses!$E$5*Hypothèses!$E$7)*$B11*(1+Hypothèses!$E$8)</f>
        <v>9343.375</v>
      </c>
      <c r="L11" s="16" t="n">
        <f aca="false">K11*Hypothèses!$E$9</f>
        <v>1027.77125</v>
      </c>
      <c r="M11" s="17" t="n">
        <f aca="false">L11*(Hypothèses!$E$10+(Hypothèses!$E$11-Hypothèses!$E$10)*7/11)*Hypothèses!$E$12</f>
        <v>26.488468125</v>
      </c>
      <c r="N11" s="18" t="n">
        <f aca="false">M11*Hypothèses!$E$13</f>
        <v>2119.07745</v>
      </c>
    </row>
    <row r="12" customFormat="false" ht="15" hidden="false" customHeight="false" outlineLevel="0" collapsed="false">
      <c r="A12" s="4" t="s">
        <v>83</v>
      </c>
      <c r="B12" s="12" t="n">
        <v>0.62</v>
      </c>
      <c r="C12" s="16" t="n">
        <f aca="false">(Hypothèses!$C$4*Hypothèses!$C$6+Hypothèses!$C$5*Hypothèses!$C$7)*$B12*(1+Hypothèses!$C$8)</f>
        <v>1521.2692</v>
      </c>
      <c r="D12" s="16" t="n">
        <f aca="false">C12*Hypothèses!$C$9</f>
        <v>76.06346</v>
      </c>
      <c r="E12" s="17" t="n">
        <f aca="false">D12*(Hypothèses!$C$10+(Hypothèses!$C$11-Hypothèses!$C$10)*8/11)*Hypothèses!$C$12</f>
        <v>0.482311485</v>
      </c>
      <c r="F12" s="18" t="n">
        <f aca="false">E12*Hypothèses!$C$13</f>
        <v>14.46934455</v>
      </c>
      <c r="G12" s="16" t="n">
        <f aca="false">(Hypothèses!$D$4*Hypothèses!$D$6+Hypothèses!$D$5*Hypothèses!$D$7)*$B12*(1+Hypothèses!$D$8)</f>
        <v>4534.2522</v>
      </c>
      <c r="H12" s="16" t="n">
        <f aca="false">G12*Hypothèses!$D$9</f>
        <v>362.740176</v>
      </c>
      <c r="I12" s="17" t="n">
        <f aca="false">H12*(Hypothèses!$D$10+(Hypothèses!$D$11-Hypothèses!$D$10)*8/11)*Hypothèses!$D$12</f>
        <v>5.39163807054545</v>
      </c>
      <c r="J12" s="18" t="n">
        <f aca="false">I12*Hypothèses!$D$13</f>
        <v>269.581903527273</v>
      </c>
      <c r="K12" s="16" t="n">
        <f aca="false">(Hypothèses!$E$4*Hypothèses!$E$6+Hypothèses!$E$5*Hypothèses!$E$7)*$B12*(1+Hypothèses!$E$8)</f>
        <v>11585.785</v>
      </c>
      <c r="L12" s="16" t="n">
        <f aca="false">K12*Hypothèses!$E$9</f>
        <v>1274.43635</v>
      </c>
      <c r="M12" s="17" t="n">
        <f aca="false">L12*(Hypothèses!$E$10+(Hypothèses!$E$11-Hypothèses!$E$10)*8/11)*Hypothèses!$E$12</f>
        <v>34.6704616125</v>
      </c>
      <c r="N12" s="18" t="n">
        <f aca="false">M12*Hypothèses!$E$13</f>
        <v>2773.636929</v>
      </c>
    </row>
    <row r="13" customFormat="false" ht="15" hidden="false" customHeight="false" outlineLevel="0" collapsed="false">
      <c r="A13" s="4" t="s">
        <v>84</v>
      </c>
      <c r="B13" s="12" t="n">
        <v>0.74</v>
      </c>
      <c r="C13" s="16" t="n">
        <f aca="false">(Hypothèses!$C$4*Hypothèses!$C$6+Hypothèses!$C$5*Hypothèses!$C$7)*$B13*(1+Hypothèses!$C$8)</f>
        <v>1815.7084</v>
      </c>
      <c r="D13" s="16" t="n">
        <f aca="false">C13*Hypothèses!$C$9</f>
        <v>90.78542</v>
      </c>
      <c r="E13" s="17" t="n">
        <f aca="false">D13*(Hypothèses!$C$10+(Hypothèses!$C$11-Hypothèses!$C$10)*9/11)*Hypothèses!$C$12</f>
        <v>0.588041925</v>
      </c>
      <c r="F13" s="18" t="n">
        <f aca="false">E13*Hypothèses!$C$13</f>
        <v>17.64125775</v>
      </c>
      <c r="G13" s="16" t="n">
        <f aca="false">(Hypothèses!$D$4*Hypothèses!$D$6+Hypothèses!$D$5*Hypothèses!$D$7)*$B13*(1+Hypothèses!$D$8)</f>
        <v>5411.8494</v>
      </c>
      <c r="H13" s="16" t="n">
        <f aca="false">G13*Hypothèses!$D$9</f>
        <v>432.947952</v>
      </c>
      <c r="I13" s="17" t="n">
        <f aca="false">H13*(Hypothèses!$D$10+(Hypothèses!$D$11-Hypothèses!$D$10)*9/11)*Hypothèses!$D$12</f>
        <v>6.67133435127273</v>
      </c>
      <c r="J13" s="18" t="n">
        <f aca="false">I13*Hypothèses!$D$13</f>
        <v>333.566717563636</v>
      </c>
      <c r="K13" s="16" t="n">
        <f aca="false">(Hypothèses!$E$4*Hypothèses!$E$6+Hypothèses!$E$5*Hypothèses!$E$7)*$B13*(1+Hypothèses!$E$8)</f>
        <v>13828.195</v>
      </c>
      <c r="L13" s="16" t="n">
        <f aca="false">K13*Hypothèses!$E$9</f>
        <v>1521.10145</v>
      </c>
      <c r="M13" s="17" t="n">
        <f aca="false">L13*(Hypothèses!$E$10+(Hypothèses!$E$11-Hypothèses!$E$10)*9/11)*Hypothèses!$E$12</f>
        <v>43.55881425</v>
      </c>
      <c r="N13" s="18" t="n">
        <f aca="false">M13*Hypothèses!$E$13</f>
        <v>3484.70514</v>
      </c>
    </row>
    <row r="14" customFormat="false" ht="15" hidden="false" customHeight="false" outlineLevel="0" collapsed="false">
      <c r="A14" s="4" t="s">
        <v>85</v>
      </c>
      <c r="B14" s="12" t="n">
        <v>0.87</v>
      </c>
      <c r="C14" s="16" t="n">
        <f aca="false">(Hypothèses!$C$4*Hypothèses!$C$6+Hypothèses!$C$5*Hypothèses!$C$7)*$B14*(1+Hypothèses!$C$8)</f>
        <v>2134.6842</v>
      </c>
      <c r="D14" s="16" t="n">
        <f aca="false">C14*Hypothèses!$C$9</f>
        <v>106.73421</v>
      </c>
      <c r="E14" s="17" t="n">
        <f aca="false">D14*(Hypothèses!$C$10+(Hypothèses!$C$11-Hypothèses!$C$10)*10/11)*Hypothèses!$C$12</f>
        <v>0.7059012525</v>
      </c>
      <c r="F14" s="18" t="n">
        <f aca="false">E14*Hypothèses!$C$13</f>
        <v>21.177037575</v>
      </c>
      <c r="G14" s="16" t="n">
        <f aca="false">(Hypothèses!$D$4*Hypothèses!$D$6+Hypothèses!$D$5*Hypothèses!$D$7)*$B14*(1+Hypothèses!$D$8)</f>
        <v>6362.5797</v>
      </c>
      <c r="H14" s="16" t="n">
        <f aca="false">G14*Hypothèses!$D$9</f>
        <v>509.006376</v>
      </c>
      <c r="I14" s="17" t="n">
        <f aca="false">H14*(Hypothèses!$D$10+(Hypothèses!$D$11-Hypothèses!$D$10)*10/11)*Hypothèses!$D$12</f>
        <v>8.12096536254545</v>
      </c>
      <c r="J14" s="18" t="n">
        <f aca="false">I14*Hypothèses!$D$13</f>
        <v>406.048268127273</v>
      </c>
      <c r="K14" s="16" t="n">
        <f aca="false">(Hypothèses!$E$4*Hypothèses!$E$6+Hypothèses!$E$5*Hypothèses!$E$7)*$B14*(1+Hypothèses!$E$8)</f>
        <v>16257.4725</v>
      </c>
      <c r="L14" s="16" t="n">
        <f aca="false">K14*Hypothèses!$E$9</f>
        <v>1788.321975</v>
      </c>
      <c r="M14" s="17" t="n">
        <f aca="false">L14*(Hypothèses!$E$10+(Hypothèses!$E$11-Hypothèses!$E$10)*10/11)*Hypothèses!$E$12</f>
        <v>53.77159029375</v>
      </c>
      <c r="N14" s="18" t="n">
        <f aca="false">M14*Hypothèses!$E$13</f>
        <v>4301.7272235</v>
      </c>
    </row>
    <row r="15" customFormat="false" ht="15" hidden="false" customHeight="false" outlineLevel="0" collapsed="false">
      <c r="A15" s="4" t="s">
        <v>86</v>
      </c>
      <c r="B15" s="12" t="n">
        <v>1</v>
      </c>
      <c r="C15" s="16" t="n">
        <f aca="false">(Hypothèses!$C$4*Hypothèses!$C$6+Hypothèses!$C$5*Hypothèses!$C$7)*$B15*(1+Hypothèses!$C$8)</f>
        <v>2453.66</v>
      </c>
      <c r="D15" s="16" t="n">
        <f aca="false">C15*Hypothèses!$C$9</f>
        <v>122.683</v>
      </c>
      <c r="E15" s="17" t="n">
        <f aca="false">D15*(Hypothèses!$C$10+(Hypothèses!$C$11-Hypothèses!$C$10)*11/11)*Hypothèses!$C$12</f>
        <v>0.82811025</v>
      </c>
      <c r="F15" s="18" t="n">
        <f aca="false">E15*Hypothèses!$C$13</f>
        <v>24.8433075</v>
      </c>
      <c r="G15" s="16" t="n">
        <f aca="false">(Hypothèses!$D$4*Hypothèses!$D$6+Hypothèses!$D$5*Hypothèses!$D$7)*$B15*(1+Hypothèses!$D$8)</f>
        <v>7313.31</v>
      </c>
      <c r="H15" s="16" t="n">
        <f aca="false">G15*Hypothèses!$D$9</f>
        <v>585.0648</v>
      </c>
      <c r="I15" s="17" t="n">
        <f aca="false">H15*(Hypothèses!$D$10+(Hypothèses!$D$11-Hypothèses!$D$10)*11/11)*Hypothèses!$D$12</f>
        <v>9.6535692</v>
      </c>
      <c r="J15" s="18" t="n">
        <f aca="false">I15*Hypothèses!$D$13</f>
        <v>482.67846</v>
      </c>
      <c r="K15" s="16" t="n">
        <f aca="false">(Hypothèses!$E$4*Hypothèses!$E$6+Hypothèses!$E$5*Hypothèses!$E$7)*$B15*(1+Hypothèses!$E$8)</f>
        <v>18686.75</v>
      </c>
      <c r="L15" s="16" t="n">
        <f aca="false">K15*Hypothèses!$E$9</f>
        <v>2055.5425</v>
      </c>
      <c r="M15" s="17" t="n">
        <f aca="false">L15*(Hypothèses!$E$10+(Hypothèses!$E$11-Hypothèses!$E$10)*11/11)*Hypothèses!$E$12</f>
        <v>64.74958875</v>
      </c>
      <c r="N15" s="18" t="n">
        <f aca="false">M15*Hypothèses!$E$13</f>
        <v>5179.9671</v>
      </c>
    </row>
    <row r="16" customFormat="false" ht="15" hidden="false" customHeight="false" outlineLevel="0" collapsed="false">
      <c r="A16" s="7" t="s">
        <v>87</v>
      </c>
      <c r="C16" s="19" t="n">
        <f aca="false">SUM(C4:C15)</f>
        <v>12243.7634</v>
      </c>
      <c r="D16" s="19" t="n">
        <f aca="false">SUM(D4:D15)</f>
        <v>612.18817</v>
      </c>
      <c r="E16" s="20" t="n">
        <f aca="false">SUM(E4:E15)</f>
        <v>3.8883540375</v>
      </c>
      <c r="F16" s="21" t="n">
        <f aca="false">SUM(F4:F15)</f>
        <v>116.650621125</v>
      </c>
      <c r="G16" s="19" t="n">
        <f aca="false">SUM(G4:G15)</f>
        <v>36493.4169</v>
      </c>
      <c r="H16" s="19" t="n">
        <f aca="false">SUM(H4:H15)</f>
        <v>2919.473352</v>
      </c>
      <c r="I16" s="20" t="n">
        <f aca="false">SUM(I4:I15)</f>
        <v>43.5184495167273</v>
      </c>
      <c r="J16" s="21" t="n">
        <f aca="false">SUM(J4:J15)</f>
        <v>2175.92247583636</v>
      </c>
      <c r="K16" s="19" t="n">
        <f aca="false">SUM(K4:K15)</f>
        <v>93246.8825</v>
      </c>
      <c r="L16" s="19" t="n">
        <f aca="false">SUM(L4:L15)</f>
        <v>10257.157075</v>
      </c>
      <c r="M16" s="20" t="n">
        <f aca="false">SUM(M4:M15)</f>
        <v>280.1891295</v>
      </c>
      <c r="N16" s="21" t="n">
        <f aca="false">SUM(N4:N15)</f>
        <v>22415.13036</v>
      </c>
    </row>
    <row r="18" customFormat="false" ht="15" hidden="false" customHeight="false" outlineLevel="0" collapsed="false">
      <c r="A18" s="1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2026-10-19T14:58:56Z</dcterms:created>
  <dc:creator>openpyxl</dc:creator>
  <dc:description/>
  <dc:language>en-US</dc:language>
  <cp:lastModifiedBy/>
  <dcterms:modified xsi:type="dcterms:W3CDTF">2026-10-19T14:58:58Z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